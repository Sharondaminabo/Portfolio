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cb43d66bf17d014/Desktop/"/>
    </mc:Choice>
  </mc:AlternateContent>
  <xr:revisionPtr revIDLastSave="0" documentId="8_{6E51F67D-0FE7-42C7-BD87-5FF391AA11A6}" xr6:coauthVersionLast="47" xr6:coauthVersionMax="47" xr10:uidLastSave="{00000000-0000-0000-0000-000000000000}"/>
  <bookViews>
    <workbookView xWindow="-110" yWindow="-110" windowWidth="22780" windowHeight="14660" activeTab="5" xr2:uid="{00000000-000D-0000-FFFF-FFFF00000000}"/>
  </bookViews>
  <sheets>
    <sheet name="LCVR 532nm" sheetId="1" r:id="rId1"/>
    <sheet name="LCVR 407" sheetId="2" r:id="rId2"/>
    <sheet name="Sheet1" sheetId="3" r:id="rId3"/>
    <sheet name="LCVR 451" sheetId="4" r:id="rId4"/>
    <sheet name="LCVR 521" sheetId="5" r:id="rId5"/>
    <sheet name="LCVR 667" sheetId="6" r:id="rId6"/>
    <sheet name="LCVR 635_Ru" sheetId="7" r:id="rId7"/>
    <sheet name="LCVR 654_SD" sheetId="8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8" l="1" a="1"/>
  <c r="Y3" i="8" s="1"/>
  <c r="Y4" i="8" a="1"/>
  <c r="Y4" i="8" s="1"/>
  <c r="Y5" i="8" a="1"/>
  <c r="Y5" i="8" s="1"/>
  <c r="Y6" i="8" a="1"/>
  <c r="Y6" i="8" s="1"/>
  <c r="Y7" i="8" a="1"/>
  <c r="Y7" i="8" s="1"/>
  <c r="Y8" i="8" a="1"/>
  <c r="Y8" i="8" s="1"/>
  <c r="Y9" i="8" a="1"/>
  <c r="Y9" i="8" s="1"/>
  <c r="Y10" i="8" a="1"/>
  <c r="Y10" i="8"/>
  <c r="Y11" i="8" a="1"/>
  <c r="Y11" i="8" s="1"/>
  <c r="Y12" i="8" a="1"/>
  <c r="Y12" i="8" s="1"/>
  <c r="Y13" i="8" a="1"/>
  <c r="Y13" i="8" s="1"/>
  <c r="Y14" i="8" a="1"/>
  <c r="Y14" i="8" s="1"/>
  <c r="Y15" i="8" a="1"/>
  <c r="Y15" i="8" s="1"/>
  <c r="Y16" i="8" a="1"/>
  <c r="Y16" i="8" s="1"/>
  <c r="Y17" i="8" a="1"/>
  <c r="Y17" i="8" s="1"/>
  <c r="Y18" i="8" a="1"/>
  <c r="Y18" i="8"/>
  <c r="Y19" i="8" a="1"/>
  <c r="Y19" i="8" s="1"/>
  <c r="Y20" i="8" a="1"/>
  <c r="Y20" i="8" s="1"/>
  <c r="Y21" i="8" a="1"/>
  <c r="Y21" i="8" s="1"/>
  <c r="Y22" i="8" a="1"/>
  <c r="Y22" i="8" s="1"/>
  <c r="Y23" i="8" a="1"/>
  <c r="Y23" i="8" s="1"/>
  <c r="Y24" i="8" a="1"/>
  <c r="Y24" i="8" s="1"/>
  <c r="Y25" i="8" a="1"/>
  <c r="Y25" i="8" s="1"/>
  <c r="Y26" i="8" a="1"/>
  <c r="Y26" i="8"/>
  <c r="Y27" i="8" a="1"/>
  <c r="Y27" i="8" s="1"/>
  <c r="Y28" i="8" a="1"/>
  <c r="Y28" i="8" s="1"/>
  <c r="Y29" i="8" a="1"/>
  <c r="Y29" i="8" s="1"/>
  <c r="Y30" i="8" a="1"/>
  <c r="Y30" i="8" s="1"/>
  <c r="Y31" i="8" a="1"/>
  <c r="Y31" i="8" s="1"/>
  <c r="Y32" i="8" a="1"/>
  <c r="Y32" i="8" s="1"/>
  <c r="Y33" i="8" a="1"/>
  <c r="Y33" i="8" s="1"/>
  <c r="Y34" i="8" a="1"/>
  <c r="Y34" i="8"/>
  <c r="Y35" i="8" a="1"/>
  <c r="Y35" i="8" s="1"/>
  <c r="Y36" i="8" a="1"/>
  <c r="Y36" i="8" s="1"/>
  <c r="Y37" i="8" a="1"/>
  <c r="Y37" i="8" s="1"/>
  <c r="Y38" i="8" a="1"/>
  <c r="Y38" i="8" s="1"/>
  <c r="Y39" i="8" a="1"/>
  <c r="Y39" i="8" s="1"/>
  <c r="Y40" i="8" a="1"/>
  <c r="Y40" i="8" s="1"/>
  <c r="Y41" i="8" a="1"/>
  <c r="Y41" i="8" s="1"/>
  <c r="Y42" i="8" a="1"/>
  <c r="Y42" i="8"/>
  <c r="Y43" i="8" a="1"/>
  <c r="Y43" i="8" s="1"/>
  <c r="Y44" i="8" a="1"/>
  <c r="Y44" i="8" s="1"/>
  <c r="Y45" i="8" a="1"/>
  <c r="Y45" i="8" s="1"/>
  <c r="Y46" i="8" a="1"/>
  <c r="Y46" i="8" s="1"/>
  <c r="Y47" i="8" a="1"/>
  <c r="Y47" i="8" s="1"/>
  <c r="Y48" i="8" a="1"/>
  <c r="Y48" i="8" s="1"/>
  <c r="Y49" i="8" a="1"/>
  <c r="Y49" i="8" s="1"/>
  <c r="Y50" i="8" a="1"/>
  <c r="Y50" i="8"/>
  <c r="Y51" i="8" a="1"/>
  <c r="Y51" i="8" s="1"/>
  <c r="Y52" i="8" a="1"/>
  <c r="Y52" i="8" s="1"/>
  <c r="Y53" i="8" a="1"/>
  <c r="Y53" i="8" s="1"/>
  <c r="Y54" i="8" a="1"/>
  <c r="Y54" i="8" s="1"/>
  <c r="Y55" i="8" a="1"/>
  <c r="Y55" i="8" s="1"/>
  <c r="Y56" i="8" a="1"/>
  <c r="Y56" i="8" s="1"/>
  <c r="Y57" i="8" a="1"/>
  <c r="Y57" i="8" s="1"/>
  <c r="Y58" i="8" a="1"/>
  <c r="Y58" i="8"/>
  <c r="Y59" i="8" a="1"/>
  <c r="Y59" i="8" s="1"/>
  <c r="Y60" i="8" a="1"/>
  <c r="Y60" i="8" s="1"/>
  <c r="Y61" i="8" a="1"/>
  <c r="Y61" i="8" s="1"/>
  <c r="Y62" i="8" a="1"/>
  <c r="Y62" i="8" s="1"/>
  <c r="Y63" i="8" a="1"/>
  <c r="Y63" i="8" s="1"/>
  <c r="Y64" i="8" a="1"/>
  <c r="Y64" i="8" s="1"/>
  <c r="Y65" i="8" a="1"/>
  <c r="Y65" i="8" s="1"/>
  <c r="Y66" i="8" a="1"/>
  <c r="Y66" i="8"/>
  <c r="Y67" i="8" a="1"/>
  <c r="Y67" i="8" s="1"/>
  <c r="Y68" i="8" a="1"/>
  <c r="Y68" i="8" s="1"/>
  <c r="Y69" i="8" a="1"/>
  <c r="Y69" i="8" s="1"/>
  <c r="Y70" i="8" a="1"/>
  <c r="Y70" i="8" s="1"/>
  <c r="Y71" i="8" a="1"/>
  <c r="Y71" i="8" s="1"/>
  <c r="Y72" i="8" a="1"/>
  <c r="Y72" i="8" s="1"/>
  <c r="Y73" i="8" a="1"/>
  <c r="Y73" i="8" s="1"/>
  <c r="Y74" i="8" a="1"/>
  <c r="Y74" i="8"/>
  <c r="Y75" i="8" a="1"/>
  <c r="Y75" i="8" s="1"/>
  <c r="Y76" i="8" a="1"/>
  <c r="Y76" i="8" s="1"/>
  <c r="Y77" i="8" a="1"/>
  <c r="Y77" i="8" s="1"/>
  <c r="Y78" i="8" a="1"/>
  <c r="Y78" i="8" s="1"/>
  <c r="Y79" i="8" a="1"/>
  <c r="Y79" i="8" s="1"/>
  <c r="Y80" i="8" a="1"/>
  <c r="Y80" i="8" s="1"/>
  <c r="Y81" i="8" a="1"/>
  <c r="Y81" i="8" s="1"/>
  <c r="Y82" i="8" a="1"/>
  <c r="Y82" i="8"/>
  <c r="Y83" i="8" a="1"/>
  <c r="Y83" i="8" s="1"/>
  <c r="Y84" i="8" a="1"/>
  <c r="Y84" i="8" s="1"/>
  <c r="Y85" i="8" a="1"/>
  <c r="Y85" i="8" s="1"/>
  <c r="Y86" i="8" a="1"/>
  <c r="Y86" i="8" s="1"/>
  <c r="Y87" i="8" a="1"/>
  <c r="Y87" i="8" s="1"/>
  <c r="Y88" i="8" a="1"/>
  <c r="Y88" i="8" s="1"/>
  <c r="Y89" i="8" a="1"/>
  <c r="Y89" i="8" s="1"/>
  <c r="Y90" i="8" a="1"/>
  <c r="Y90" i="8"/>
  <c r="Y91" i="8" a="1"/>
  <c r="Y91" i="8" s="1"/>
  <c r="Y92" i="8" a="1"/>
  <c r="Y92" i="8" s="1"/>
  <c r="Y93" i="8" a="1"/>
  <c r="Y93" i="8" s="1"/>
  <c r="Y94" i="8" a="1"/>
  <c r="Y94" i="8" s="1"/>
  <c r="Y95" i="8" a="1"/>
  <c r="Y95" i="8" s="1"/>
  <c r="Y96" i="8" a="1"/>
  <c r="Y96" i="8" s="1"/>
  <c r="Y97" i="8" a="1"/>
  <c r="Y97" i="8" s="1"/>
  <c r="Y98" i="8" a="1"/>
  <c r="Y98" i="8"/>
  <c r="Y99" i="8" a="1"/>
  <c r="Y99" i="8" s="1"/>
  <c r="Y100" i="8" a="1"/>
  <c r="Y100" i="8" s="1"/>
  <c r="Y101" i="8" a="1"/>
  <c r="Y101" i="8" s="1"/>
  <c r="Y102" i="8" a="1"/>
  <c r="Y102" i="8" s="1"/>
  <c r="Y103" i="8" a="1"/>
  <c r="Y103" i="8" s="1"/>
  <c r="Y104" i="8" a="1"/>
  <c r="Y104" i="8" s="1"/>
  <c r="Y105" i="8" a="1"/>
  <c r="Y105" i="8" s="1"/>
  <c r="Y106" i="8" a="1"/>
  <c r="Y106" i="8"/>
  <c r="Y107" i="8" a="1"/>
  <c r="Y107" i="8" s="1"/>
  <c r="Y108" i="8" a="1"/>
  <c r="Y108" i="8" s="1"/>
  <c r="Y109" i="8" a="1"/>
  <c r="Y109" i="8" s="1"/>
  <c r="Y110" i="8" a="1"/>
  <c r="Y110" i="8" s="1"/>
  <c r="Y111" i="8" a="1"/>
  <c r="Y111" i="8" s="1"/>
  <c r="Y2" i="8" a="1"/>
  <c r="Y2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59" i="8"/>
  <c r="C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2" i="8"/>
  <c r="K2" i="6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2" i="7"/>
  <c r="J2" i="6"/>
  <c r="C2" i="7"/>
  <c r="G73" i="7"/>
  <c r="D73" i="7" s="1"/>
  <c r="E73" i="7" s="1"/>
  <c r="G57" i="7"/>
  <c r="G56" i="7"/>
  <c r="G65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8" i="7"/>
  <c r="G59" i="7"/>
  <c r="G60" i="7"/>
  <c r="G61" i="7"/>
  <c r="G62" i="7"/>
  <c r="G63" i="7"/>
  <c r="G64" i="7"/>
  <c r="G66" i="7"/>
  <c r="G67" i="7"/>
  <c r="G68" i="7"/>
  <c r="G69" i="7"/>
  <c r="G70" i="7"/>
  <c r="G71" i="7"/>
  <c r="G72" i="7"/>
  <c r="G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A64" i="7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45" i="7"/>
  <c r="A46" i="7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30" i="7"/>
  <c r="A31" i="7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29" i="7"/>
  <c r="O11" i="6"/>
  <c r="O13" i="6"/>
  <c r="O18" i="6"/>
  <c r="O27" i="6"/>
  <c r="O29" i="6"/>
  <c r="O34" i="6"/>
  <c r="O43" i="6"/>
  <c r="O45" i="6"/>
  <c r="O50" i="6"/>
  <c r="O59" i="6"/>
  <c r="O61" i="6"/>
  <c r="O66" i="6"/>
  <c r="O75" i="6"/>
  <c r="O77" i="6"/>
  <c r="O82" i="6"/>
  <c r="O91" i="6"/>
  <c r="O93" i="6"/>
  <c r="O98" i="6"/>
  <c r="O107" i="6"/>
  <c r="O109" i="6"/>
  <c r="O114" i="6"/>
  <c r="O123" i="6"/>
  <c r="O125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I3" i="6"/>
  <c r="J3" i="6" s="1"/>
  <c r="I4" i="6"/>
  <c r="J43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I12" i="6"/>
  <c r="J12" i="6" s="1"/>
  <c r="I13" i="6"/>
  <c r="I14" i="6"/>
  <c r="J14" i="6" s="1"/>
  <c r="I15" i="6"/>
  <c r="J15" i="6" s="1"/>
  <c r="I16" i="6"/>
  <c r="J16" i="6" s="1"/>
  <c r="I17" i="6"/>
  <c r="I18" i="6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I28" i="6"/>
  <c r="J28" i="6" s="1"/>
  <c r="I29" i="6"/>
  <c r="I30" i="6"/>
  <c r="J30" i="6" s="1"/>
  <c r="I31" i="6"/>
  <c r="J31" i="6" s="1"/>
  <c r="I32" i="6"/>
  <c r="J32" i="6" s="1"/>
  <c r="I33" i="6"/>
  <c r="I34" i="6"/>
  <c r="I35" i="6"/>
  <c r="J35" i="6" s="1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I44" i="6"/>
  <c r="J44" i="6" s="1"/>
  <c r="I45" i="6"/>
  <c r="I46" i="6"/>
  <c r="J46" i="6" s="1"/>
  <c r="I47" i="6"/>
  <c r="J47" i="6" s="1"/>
  <c r="I48" i="6"/>
  <c r="J48" i="6" s="1"/>
  <c r="I49" i="6"/>
  <c r="I50" i="6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I60" i="6"/>
  <c r="J60" i="6" s="1"/>
  <c r="I61" i="6"/>
  <c r="I62" i="6"/>
  <c r="J62" i="6" s="1"/>
  <c r="I63" i="6"/>
  <c r="J63" i="6" s="1"/>
  <c r="I64" i="6"/>
  <c r="J64" i="6" s="1"/>
  <c r="I65" i="6"/>
  <c r="I66" i="6"/>
  <c r="I67" i="6"/>
  <c r="J67" i="6" s="1"/>
  <c r="I68" i="6"/>
  <c r="J68" i="6" s="1"/>
  <c r="I69" i="6"/>
  <c r="J69" i="6" s="1"/>
  <c r="I70" i="6"/>
  <c r="J70" i="6" s="1"/>
  <c r="I71" i="6"/>
  <c r="J71" i="6" s="1"/>
  <c r="I72" i="6"/>
  <c r="J72" i="6" s="1"/>
  <c r="I73" i="6"/>
  <c r="J73" i="6" s="1"/>
  <c r="I74" i="6"/>
  <c r="J74" i="6" s="1"/>
  <c r="I75" i="6"/>
  <c r="I76" i="6"/>
  <c r="J76" i="6" s="1"/>
  <c r="I77" i="6"/>
  <c r="I78" i="6"/>
  <c r="J78" i="6" s="1"/>
  <c r="I79" i="6"/>
  <c r="J79" i="6" s="1"/>
  <c r="I80" i="6"/>
  <c r="J80" i="6" s="1"/>
  <c r="I81" i="6"/>
  <c r="I82" i="6"/>
  <c r="I83" i="6"/>
  <c r="J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J89" i="6" s="1"/>
  <c r="I90" i="6"/>
  <c r="J90" i="6" s="1"/>
  <c r="I91" i="6"/>
  <c r="I92" i="6"/>
  <c r="J92" i="6" s="1"/>
  <c r="I93" i="6"/>
  <c r="I94" i="6"/>
  <c r="J94" i="6" s="1"/>
  <c r="I95" i="6"/>
  <c r="J95" i="6" s="1"/>
  <c r="I96" i="6"/>
  <c r="J96" i="6" s="1"/>
  <c r="I97" i="6"/>
  <c r="I98" i="6"/>
  <c r="I99" i="6"/>
  <c r="J99" i="6" s="1"/>
  <c r="I100" i="6"/>
  <c r="J100" i="6" s="1"/>
  <c r="I101" i="6"/>
  <c r="J101" i="6" s="1"/>
  <c r="I102" i="6"/>
  <c r="J102" i="6" s="1"/>
  <c r="I103" i="6"/>
  <c r="J103" i="6" s="1"/>
  <c r="I104" i="6"/>
  <c r="J104" i="6" s="1"/>
  <c r="I105" i="6"/>
  <c r="J105" i="6" s="1"/>
  <c r="I106" i="6"/>
  <c r="J106" i="6" s="1"/>
  <c r="I107" i="6"/>
  <c r="I108" i="6"/>
  <c r="J108" i="6" s="1"/>
  <c r="I109" i="6"/>
  <c r="I110" i="6"/>
  <c r="J110" i="6" s="1"/>
  <c r="I111" i="6"/>
  <c r="J111" i="6" s="1"/>
  <c r="I112" i="6"/>
  <c r="J112" i="6" s="1"/>
  <c r="I113" i="6"/>
  <c r="I114" i="6"/>
  <c r="I115" i="6"/>
  <c r="J115" i="6" s="1"/>
  <c r="I116" i="6"/>
  <c r="J116" i="6" s="1"/>
  <c r="I117" i="6"/>
  <c r="J117" i="6" s="1"/>
  <c r="I118" i="6"/>
  <c r="J118" i="6" s="1"/>
  <c r="I119" i="6"/>
  <c r="J119" i="6" s="1"/>
  <c r="I120" i="6"/>
  <c r="J120" i="6" s="1"/>
  <c r="I121" i="6"/>
  <c r="J121" i="6" s="1"/>
  <c r="I122" i="6"/>
  <c r="J122" i="6" s="1"/>
  <c r="I123" i="6"/>
  <c r="I124" i="6"/>
  <c r="J124" i="6" s="1"/>
  <c r="I125" i="6"/>
  <c r="I126" i="6"/>
  <c r="J126" i="6" s="1"/>
  <c r="I2" i="6"/>
  <c r="G3" i="6"/>
  <c r="O3" i="6" s="1"/>
  <c r="G4" i="6"/>
  <c r="O4" i="6" s="1"/>
  <c r="G5" i="6"/>
  <c r="O5" i="6" s="1"/>
  <c r="G6" i="6"/>
  <c r="O6" i="6" s="1"/>
  <c r="G7" i="6"/>
  <c r="O7" i="6" s="1"/>
  <c r="G8" i="6"/>
  <c r="O8" i="6" s="1"/>
  <c r="G9" i="6"/>
  <c r="O9" i="6" s="1"/>
  <c r="G10" i="6"/>
  <c r="O10" i="6" s="1"/>
  <c r="G11" i="6"/>
  <c r="G12" i="6"/>
  <c r="O12" i="6" s="1"/>
  <c r="G13" i="6"/>
  <c r="G14" i="6"/>
  <c r="O14" i="6" s="1"/>
  <c r="G15" i="6"/>
  <c r="O15" i="6" s="1"/>
  <c r="G16" i="6"/>
  <c r="O16" i="6" s="1"/>
  <c r="G17" i="6"/>
  <c r="O17" i="6" s="1"/>
  <c r="G18" i="6"/>
  <c r="G19" i="6"/>
  <c r="O19" i="6" s="1"/>
  <c r="G20" i="6"/>
  <c r="O20" i="6" s="1"/>
  <c r="G21" i="6"/>
  <c r="O21" i="6" s="1"/>
  <c r="G22" i="6"/>
  <c r="O22" i="6" s="1"/>
  <c r="G23" i="6"/>
  <c r="O23" i="6" s="1"/>
  <c r="G24" i="6"/>
  <c r="O24" i="6" s="1"/>
  <c r="G25" i="6"/>
  <c r="O25" i="6" s="1"/>
  <c r="G26" i="6"/>
  <c r="O26" i="6" s="1"/>
  <c r="G27" i="6"/>
  <c r="G28" i="6"/>
  <c r="O28" i="6" s="1"/>
  <c r="G29" i="6"/>
  <c r="G30" i="6"/>
  <c r="O30" i="6" s="1"/>
  <c r="G31" i="6"/>
  <c r="O31" i="6" s="1"/>
  <c r="G32" i="6"/>
  <c r="O32" i="6" s="1"/>
  <c r="G33" i="6"/>
  <c r="O33" i="6" s="1"/>
  <c r="G34" i="6"/>
  <c r="G35" i="6"/>
  <c r="O35" i="6" s="1"/>
  <c r="G36" i="6"/>
  <c r="O36" i="6" s="1"/>
  <c r="G37" i="6"/>
  <c r="O37" i="6" s="1"/>
  <c r="G38" i="6"/>
  <c r="O38" i="6" s="1"/>
  <c r="G39" i="6"/>
  <c r="O39" i="6" s="1"/>
  <c r="G40" i="6"/>
  <c r="O40" i="6" s="1"/>
  <c r="G41" i="6"/>
  <c r="O41" i="6" s="1"/>
  <c r="G42" i="6"/>
  <c r="O42" i="6" s="1"/>
  <c r="G43" i="6"/>
  <c r="G44" i="6"/>
  <c r="O44" i="6" s="1"/>
  <c r="G45" i="6"/>
  <c r="G46" i="6"/>
  <c r="O46" i="6" s="1"/>
  <c r="G47" i="6"/>
  <c r="O47" i="6" s="1"/>
  <c r="G48" i="6"/>
  <c r="O48" i="6" s="1"/>
  <c r="G49" i="6"/>
  <c r="O49" i="6" s="1"/>
  <c r="G50" i="6"/>
  <c r="G51" i="6"/>
  <c r="O51" i="6" s="1"/>
  <c r="G52" i="6"/>
  <c r="O52" i="6" s="1"/>
  <c r="G53" i="6"/>
  <c r="O53" i="6" s="1"/>
  <c r="G54" i="6"/>
  <c r="O54" i="6" s="1"/>
  <c r="G55" i="6"/>
  <c r="O55" i="6" s="1"/>
  <c r="G56" i="6"/>
  <c r="O56" i="6" s="1"/>
  <c r="G57" i="6"/>
  <c r="O57" i="6" s="1"/>
  <c r="G58" i="6"/>
  <c r="O58" i="6" s="1"/>
  <c r="G59" i="6"/>
  <c r="G60" i="6"/>
  <c r="O60" i="6" s="1"/>
  <c r="G61" i="6"/>
  <c r="G62" i="6"/>
  <c r="O62" i="6" s="1"/>
  <c r="G63" i="6"/>
  <c r="O63" i="6" s="1"/>
  <c r="G64" i="6"/>
  <c r="O64" i="6" s="1"/>
  <c r="G65" i="6"/>
  <c r="O65" i="6" s="1"/>
  <c r="G66" i="6"/>
  <c r="G67" i="6"/>
  <c r="O67" i="6" s="1"/>
  <c r="G68" i="6"/>
  <c r="O68" i="6" s="1"/>
  <c r="G69" i="6"/>
  <c r="O69" i="6" s="1"/>
  <c r="G70" i="6"/>
  <c r="O70" i="6" s="1"/>
  <c r="G71" i="6"/>
  <c r="O71" i="6" s="1"/>
  <c r="G72" i="6"/>
  <c r="O72" i="6" s="1"/>
  <c r="G73" i="6"/>
  <c r="O73" i="6" s="1"/>
  <c r="G74" i="6"/>
  <c r="O74" i="6" s="1"/>
  <c r="G75" i="6"/>
  <c r="G76" i="6"/>
  <c r="O76" i="6" s="1"/>
  <c r="G77" i="6"/>
  <c r="G78" i="6"/>
  <c r="O78" i="6" s="1"/>
  <c r="G79" i="6"/>
  <c r="O79" i="6" s="1"/>
  <c r="G80" i="6"/>
  <c r="O80" i="6" s="1"/>
  <c r="G81" i="6"/>
  <c r="O81" i="6" s="1"/>
  <c r="G82" i="6"/>
  <c r="G83" i="6"/>
  <c r="O83" i="6" s="1"/>
  <c r="G84" i="6"/>
  <c r="O84" i="6" s="1"/>
  <c r="G85" i="6"/>
  <c r="O85" i="6" s="1"/>
  <c r="G86" i="6"/>
  <c r="O86" i="6" s="1"/>
  <c r="G87" i="6"/>
  <c r="O87" i="6" s="1"/>
  <c r="G88" i="6"/>
  <c r="O88" i="6" s="1"/>
  <c r="G89" i="6"/>
  <c r="O89" i="6" s="1"/>
  <c r="G90" i="6"/>
  <c r="O90" i="6" s="1"/>
  <c r="G91" i="6"/>
  <c r="G92" i="6"/>
  <c r="O92" i="6" s="1"/>
  <c r="G93" i="6"/>
  <c r="G94" i="6"/>
  <c r="O94" i="6" s="1"/>
  <c r="G95" i="6"/>
  <c r="O95" i="6" s="1"/>
  <c r="G96" i="6"/>
  <c r="O96" i="6" s="1"/>
  <c r="G97" i="6"/>
  <c r="O97" i="6" s="1"/>
  <c r="G98" i="6"/>
  <c r="G99" i="6"/>
  <c r="O99" i="6" s="1"/>
  <c r="G100" i="6"/>
  <c r="O100" i="6" s="1"/>
  <c r="G101" i="6"/>
  <c r="O101" i="6" s="1"/>
  <c r="G102" i="6"/>
  <c r="O102" i="6" s="1"/>
  <c r="G103" i="6"/>
  <c r="O103" i="6" s="1"/>
  <c r="G104" i="6"/>
  <c r="O104" i="6" s="1"/>
  <c r="G105" i="6"/>
  <c r="O105" i="6" s="1"/>
  <c r="G106" i="6"/>
  <c r="O106" i="6" s="1"/>
  <c r="G107" i="6"/>
  <c r="G108" i="6"/>
  <c r="O108" i="6" s="1"/>
  <c r="G109" i="6"/>
  <c r="G110" i="6"/>
  <c r="O110" i="6" s="1"/>
  <c r="G111" i="6"/>
  <c r="O111" i="6" s="1"/>
  <c r="G112" i="6"/>
  <c r="O112" i="6" s="1"/>
  <c r="G113" i="6"/>
  <c r="O113" i="6" s="1"/>
  <c r="G114" i="6"/>
  <c r="G115" i="6"/>
  <c r="O115" i="6" s="1"/>
  <c r="G116" i="6"/>
  <c r="O116" i="6" s="1"/>
  <c r="G117" i="6"/>
  <c r="O117" i="6" s="1"/>
  <c r="G118" i="6"/>
  <c r="O118" i="6" s="1"/>
  <c r="G119" i="6"/>
  <c r="O119" i="6" s="1"/>
  <c r="G120" i="6"/>
  <c r="O120" i="6" s="1"/>
  <c r="G121" i="6"/>
  <c r="O121" i="6" s="1"/>
  <c r="G122" i="6"/>
  <c r="O122" i="6" s="1"/>
  <c r="G123" i="6"/>
  <c r="G124" i="6"/>
  <c r="O124" i="6" s="1"/>
  <c r="G125" i="6"/>
  <c r="G126" i="6"/>
  <c r="O126" i="6" s="1"/>
  <c r="G2" i="6"/>
  <c r="O2" i="6" s="1"/>
  <c r="A27" i="6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2" i="5"/>
  <c r="I2" i="5" s="1"/>
  <c r="D3" i="7" l="1"/>
  <c r="E3" i="7" s="1"/>
  <c r="D4" i="7"/>
  <c r="E4" i="7" s="1"/>
  <c r="D5" i="7"/>
  <c r="E5" i="7" s="1"/>
  <c r="D6" i="7"/>
  <c r="E6" i="7" s="1"/>
  <c r="D7" i="7"/>
  <c r="E7" i="7" s="1"/>
  <c r="D8" i="7"/>
  <c r="E8" i="7" s="1"/>
  <c r="D9" i="7"/>
  <c r="E9" i="7" s="1"/>
  <c r="D10" i="7"/>
  <c r="E10" i="7" s="1"/>
  <c r="D11" i="7"/>
  <c r="E11" i="7" s="1"/>
  <c r="D12" i="7"/>
  <c r="E12" i="7" s="1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E32" i="7" s="1"/>
  <c r="D33" i="7"/>
  <c r="E33" i="7" s="1"/>
  <c r="D34" i="7"/>
  <c r="E34" i="7" s="1"/>
  <c r="D35" i="7"/>
  <c r="E35" i="7" s="1"/>
  <c r="D36" i="7"/>
  <c r="E36" i="7" s="1"/>
  <c r="D37" i="7"/>
  <c r="E37" i="7" s="1"/>
  <c r="D38" i="7"/>
  <c r="E38" i="7" s="1"/>
  <c r="D39" i="7"/>
  <c r="E39" i="7" s="1"/>
  <c r="D40" i="7"/>
  <c r="E40" i="7" s="1"/>
  <c r="D41" i="7"/>
  <c r="E41" i="7" s="1"/>
  <c r="D42" i="7"/>
  <c r="E42" i="7" s="1"/>
  <c r="D43" i="7"/>
  <c r="E43" i="7" s="1"/>
  <c r="D44" i="7"/>
  <c r="E44" i="7" s="1"/>
  <c r="D45" i="7"/>
  <c r="E45" i="7" s="1"/>
  <c r="D46" i="7"/>
  <c r="E46" i="7" s="1"/>
  <c r="D47" i="7"/>
  <c r="E47" i="7" s="1"/>
  <c r="D48" i="7"/>
  <c r="E48" i="7" s="1"/>
  <c r="D49" i="7"/>
  <c r="E49" i="7" s="1"/>
  <c r="D50" i="7"/>
  <c r="E50" i="7" s="1"/>
  <c r="D51" i="7"/>
  <c r="E51" i="7" s="1"/>
  <c r="D52" i="7"/>
  <c r="E52" i="7" s="1"/>
  <c r="D53" i="7"/>
  <c r="E53" i="7" s="1"/>
  <c r="D54" i="7"/>
  <c r="E54" i="7" s="1"/>
  <c r="D55" i="7"/>
  <c r="E55" i="7" s="1"/>
  <c r="D56" i="7"/>
  <c r="E56" i="7" s="1"/>
  <c r="D57" i="7"/>
  <c r="E57" i="7" s="1"/>
  <c r="D58" i="7"/>
  <c r="E58" i="7" s="1"/>
  <c r="D59" i="7"/>
  <c r="E59" i="7" s="1"/>
  <c r="D60" i="7"/>
  <c r="E60" i="7" s="1"/>
  <c r="D61" i="7"/>
  <c r="E61" i="7" s="1"/>
  <c r="D62" i="7"/>
  <c r="E62" i="7" s="1"/>
  <c r="D63" i="7"/>
  <c r="E63" i="7" s="1"/>
  <c r="D64" i="7"/>
  <c r="E64" i="7" s="1"/>
  <c r="D65" i="7"/>
  <c r="E65" i="7" s="1"/>
  <c r="D66" i="7"/>
  <c r="E66" i="7" s="1"/>
  <c r="D67" i="7"/>
  <c r="E67" i="7" s="1"/>
  <c r="D68" i="7"/>
  <c r="E68" i="7" s="1"/>
  <c r="D69" i="7"/>
  <c r="E69" i="7" s="1"/>
  <c r="D70" i="7"/>
  <c r="E70" i="7" s="1"/>
  <c r="D71" i="7"/>
  <c r="E71" i="7" s="1"/>
  <c r="D72" i="7"/>
  <c r="E72" i="7" s="1"/>
  <c r="D2" i="7"/>
  <c r="E2" i="7" s="1"/>
  <c r="K8" i="6"/>
  <c r="P8" i="6" s="1"/>
  <c r="K24" i="6"/>
  <c r="P24" i="6" s="1"/>
  <c r="K9" i="6"/>
  <c r="P9" i="6" s="1"/>
  <c r="K25" i="6"/>
  <c r="P25" i="6" s="1"/>
  <c r="K16" i="6"/>
  <c r="P16" i="6" s="1"/>
  <c r="K10" i="6"/>
  <c r="P10" i="6" s="1"/>
  <c r="K26" i="6"/>
  <c r="P26" i="6" s="1"/>
  <c r="K7" i="6"/>
  <c r="P7" i="6" s="1"/>
  <c r="K11" i="6"/>
  <c r="P11" i="6" s="1"/>
  <c r="K12" i="6"/>
  <c r="P12" i="6" s="1"/>
  <c r="K28" i="6"/>
  <c r="P28" i="6" s="1"/>
  <c r="K32" i="6"/>
  <c r="P32" i="6" s="1"/>
  <c r="K14" i="6"/>
  <c r="P14" i="6" s="1"/>
  <c r="K30" i="6"/>
  <c r="P30" i="6" s="1"/>
  <c r="K15" i="6"/>
  <c r="P15" i="6" s="1"/>
  <c r="K31" i="6"/>
  <c r="P31" i="6" s="1"/>
  <c r="P2" i="6"/>
  <c r="K34" i="6"/>
  <c r="P34" i="6" s="1"/>
  <c r="K23" i="6"/>
  <c r="P23" i="6" s="1"/>
  <c r="K3" i="6"/>
  <c r="P3" i="6" s="1"/>
  <c r="K19" i="6"/>
  <c r="P19" i="6" s="1"/>
  <c r="K35" i="6"/>
  <c r="P35" i="6" s="1"/>
  <c r="K22" i="6"/>
  <c r="P22" i="6" s="1"/>
  <c r="K20" i="6"/>
  <c r="P20" i="6" s="1"/>
  <c r="K36" i="6"/>
  <c r="P36" i="6" s="1"/>
  <c r="K39" i="6"/>
  <c r="P39" i="6" s="1"/>
  <c r="K5" i="6"/>
  <c r="P5" i="6" s="1"/>
  <c r="K21" i="6"/>
  <c r="P21" i="6" s="1"/>
  <c r="K37" i="6"/>
  <c r="P37" i="6" s="1"/>
  <c r="K6" i="6"/>
  <c r="P6" i="6" s="1"/>
  <c r="K38" i="6"/>
  <c r="P38" i="6" s="1"/>
  <c r="J114" i="6"/>
  <c r="J113" i="6"/>
  <c r="J49" i="6"/>
  <c r="J81" i="6"/>
  <c r="J17" i="6"/>
  <c r="K17" i="6" s="1"/>
  <c r="P17" i="6" s="1"/>
  <c r="J18" i="6"/>
  <c r="K18" i="6" s="1"/>
  <c r="P18" i="6" s="1"/>
  <c r="J97" i="6"/>
  <c r="J65" i="6"/>
  <c r="J33" i="6"/>
  <c r="K33" i="6" s="1"/>
  <c r="P33" i="6" s="1"/>
  <c r="J50" i="6"/>
  <c r="J125" i="6"/>
  <c r="J109" i="6"/>
  <c r="J93" i="6"/>
  <c r="J77" i="6"/>
  <c r="J61" i="6"/>
  <c r="J45" i="6"/>
  <c r="J29" i="6"/>
  <c r="K29" i="6" s="1"/>
  <c r="P29" i="6" s="1"/>
  <c r="J13" i="6"/>
  <c r="K13" i="6" s="1"/>
  <c r="P13" i="6" s="1"/>
  <c r="J66" i="6"/>
  <c r="J91" i="6"/>
  <c r="J82" i="6"/>
  <c r="J27" i="6"/>
  <c r="K27" i="6" s="1"/>
  <c r="P27" i="6" s="1"/>
  <c r="J123" i="6"/>
  <c r="J98" i="6"/>
  <c r="J75" i="6"/>
  <c r="J59" i="6"/>
  <c r="J34" i="6"/>
  <c r="J11" i="6"/>
  <c r="J107" i="6"/>
  <c r="J4" i="6"/>
  <c r="K4" i="6" s="1"/>
  <c r="P4" i="6" s="1"/>
  <c r="A42" i="6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I39" i="5"/>
  <c r="I107" i="5"/>
  <c r="I108" i="5"/>
  <c r="I109" i="5"/>
  <c r="I110" i="5"/>
  <c r="I111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F3" i="5"/>
  <c r="G3" i="5" s="1"/>
  <c r="A3" i="5"/>
  <c r="A4" i="5" s="1"/>
  <c r="G2" i="5"/>
  <c r="F2" i="5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H106" i="4"/>
  <c r="I106" i="4" s="1"/>
  <c r="H105" i="4"/>
  <c r="I105" i="4" s="1"/>
  <c r="H104" i="4"/>
  <c r="I104" i="4" s="1"/>
  <c r="H103" i="4"/>
  <c r="I103" i="4" s="1"/>
  <c r="H102" i="4"/>
  <c r="I102" i="4" s="1"/>
  <c r="H101" i="4"/>
  <c r="I101" i="4" s="1"/>
  <c r="H100" i="4"/>
  <c r="I100" i="4" s="1"/>
  <c r="H99" i="4"/>
  <c r="I99" i="4" s="1"/>
  <c r="H98" i="4"/>
  <c r="I98" i="4" s="1"/>
  <c r="H97" i="4"/>
  <c r="I97" i="4" s="1"/>
  <c r="H96" i="4"/>
  <c r="I96" i="4" s="1"/>
  <c r="I95" i="4"/>
  <c r="H95" i="4"/>
  <c r="H94" i="4"/>
  <c r="I94" i="4" s="1"/>
  <c r="H93" i="4"/>
  <c r="I93" i="4" s="1"/>
  <c r="H92" i="4"/>
  <c r="I92" i="4" s="1"/>
  <c r="H91" i="4"/>
  <c r="I91" i="4" s="1"/>
  <c r="H90" i="4"/>
  <c r="I90" i="4" s="1"/>
  <c r="H89" i="4"/>
  <c r="I89" i="4" s="1"/>
  <c r="H88" i="4"/>
  <c r="I88" i="4" s="1"/>
  <c r="H87" i="4"/>
  <c r="I87" i="4" s="1"/>
  <c r="H86" i="4"/>
  <c r="I86" i="4" s="1"/>
  <c r="H85" i="4"/>
  <c r="I85" i="4" s="1"/>
  <c r="H84" i="4"/>
  <c r="I84" i="4" s="1"/>
  <c r="H83" i="4"/>
  <c r="I83" i="4" s="1"/>
  <c r="H82" i="4"/>
  <c r="I82" i="4" s="1"/>
  <c r="H81" i="4"/>
  <c r="I81" i="4" s="1"/>
  <c r="H80" i="4"/>
  <c r="I80" i="4" s="1"/>
  <c r="H79" i="4"/>
  <c r="I79" i="4" s="1"/>
  <c r="H78" i="4"/>
  <c r="I78" i="4" s="1"/>
  <c r="H77" i="4"/>
  <c r="I77" i="4" s="1"/>
  <c r="H76" i="4"/>
  <c r="I76" i="4" s="1"/>
  <c r="H75" i="4"/>
  <c r="I75" i="4" s="1"/>
  <c r="H74" i="4"/>
  <c r="I74" i="4" s="1"/>
  <c r="H73" i="4"/>
  <c r="I73" i="4" s="1"/>
  <c r="H72" i="4"/>
  <c r="I72" i="4" s="1"/>
  <c r="H71" i="4"/>
  <c r="I71" i="4" s="1"/>
  <c r="H70" i="4"/>
  <c r="I70" i="4" s="1"/>
  <c r="H69" i="4"/>
  <c r="I69" i="4" s="1"/>
  <c r="H68" i="4"/>
  <c r="I68" i="4" s="1"/>
  <c r="H67" i="4"/>
  <c r="I67" i="4" s="1"/>
  <c r="H66" i="4"/>
  <c r="I66" i="4" s="1"/>
  <c r="H65" i="4"/>
  <c r="I65" i="4" s="1"/>
  <c r="H64" i="4"/>
  <c r="I64" i="4" s="1"/>
  <c r="H63" i="4"/>
  <c r="I63" i="4" s="1"/>
  <c r="H62" i="4"/>
  <c r="I62" i="4" s="1"/>
  <c r="H61" i="4"/>
  <c r="I61" i="4" s="1"/>
  <c r="H60" i="4"/>
  <c r="I60" i="4" s="1"/>
  <c r="H59" i="4"/>
  <c r="I59" i="4" s="1"/>
  <c r="I58" i="4"/>
  <c r="H58" i="4"/>
  <c r="H57" i="4"/>
  <c r="I57" i="4" s="1"/>
  <c r="H56" i="4"/>
  <c r="I56" i="4" s="1"/>
  <c r="H55" i="4"/>
  <c r="I55" i="4" s="1"/>
  <c r="H54" i="4"/>
  <c r="I54" i="4" s="1"/>
  <c r="H53" i="4"/>
  <c r="I53" i="4" s="1"/>
  <c r="H52" i="4"/>
  <c r="I52" i="4" s="1"/>
  <c r="I51" i="4"/>
  <c r="H51" i="4"/>
  <c r="H50" i="4"/>
  <c r="I50" i="4" s="1"/>
  <c r="H49" i="4"/>
  <c r="I49" i="4" s="1"/>
  <c r="H48" i="4"/>
  <c r="I48" i="4" s="1"/>
  <c r="H47" i="4"/>
  <c r="I47" i="4" s="1"/>
  <c r="H46" i="4"/>
  <c r="I46" i="4" s="1"/>
  <c r="H45" i="4"/>
  <c r="I45" i="4" s="1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F3" i="4"/>
  <c r="G3" i="4" s="1"/>
  <c r="A3" i="4"/>
  <c r="A4" i="4" s="1"/>
  <c r="H2" i="4"/>
  <c r="I2" i="4" s="1"/>
  <c r="F2" i="4"/>
  <c r="G2" i="4" s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2" i="3"/>
  <c r="H113" i="3"/>
  <c r="I113" i="3" s="1"/>
  <c r="F113" i="3"/>
  <c r="G113" i="3" s="1"/>
  <c r="H112" i="3"/>
  <c r="I112" i="3" s="1"/>
  <c r="F112" i="3"/>
  <c r="G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A3" i="3"/>
  <c r="A4" i="3" s="1"/>
  <c r="A5" i="3" s="1"/>
  <c r="H2" i="3"/>
  <c r="I2" i="3" s="1"/>
  <c r="F2" i="3"/>
  <c r="G2" i="3" s="1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I66" i="2"/>
  <c r="I8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J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J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2" i="2"/>
  <c r="I2" i="2" s="1"/>
  <c r="G113" i="2"/>
  <c r="F7" i="2"/>
  <c r="P7" i="2" s="1"/>
  <c r="F15" i="2"/>
  <c r="P15" i="2" s="1"/>
  <c r="F16" i="2"/>
  <c r="P16" i="2" s="1"/>
  <c r="F18" i="2"/>
  <c r="P18" i="2" s="1"/>
  <c r="F23" i="2"/>
  <c r="P23" i="2" s="1"/>
  <c r="F31" i="2"/>
  <c r="P31" i="2" s="1"/>
  <c r="F32" i="2"/>
  <c r="P32" i="2" s="1"/>
  <c r="F34" i="2"/>
  <c r="P34" i="2" s="1"/>
  <c r="F39" i="2"/>
  <c r="P39" i="2" s="1"/>
  <c r="F47" i="2"/>
  <c r="P47" i="2" s="1"/>
  <c r="F48" i="2"/>
  <c r="P48" i="2" s="1"/>
  <c r="F50" i="2"/>
  <c r="P50" i="2" s="1"/>
  <c r="F55" i="2"/>
  <c r="P55" i="2" s="1"/>
  <c r="F63" i="2"/>
  <c r="P63" i="2" s="1"/>
  <c r="F64" i="2"/>
  <c r="P64" i="2" s="1"/>
  <c r="F66" i="2"/>
  <c r="P66" i="2" s="1"/>
  <c r="F71" i="2"/>
  <c r="P71" i="2" s="1"/>
  <c r="F79" i="2"/>
  <c r="P79" i="2" s="1"/>
  <c r="F80" i="2"/>
  <c r="P80" i="2" s="1"/>
  <c r="F82" i="2"/>
  <c r="P82" i="2" s="1"/>
  <c r="F87" i="2"/>
  <c r="P87" i="2" s="1"/>
  <c r="F112" i="2"/>
  <c r="G112" i="2" s="1"/>
  <c r="F113" i="2"/>
  <c r="P113" i="2" s="1"/>
  <c r="F2" i="2"/>
  <c r="P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F91" i="2" s="1"/>
  <c r="P91" i="2" s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K15" i="1"/>
  <c r="Q15" i="1" s="1"/>
  <c r="K17" i="1"/>
  <c r="Q17" i="1" s="1"/>
  <c r="K31" i="1"/>
  <c r="Q31" i="1" s="1"/>
  <c r="K33" i="1"/>
  <c r="Q33" i="1" s="1"/>
  <c r="G3" i="1"/>
  <c r="G11" i="1"/>
  <c r="G12" i="1"/>
  <c r="G14" i="1"/>
  <c r="G19" i="1"/>
  <c r="G27" i="1"/>
  <c r="G28" i="1"/>
  <c r="G30" i="1"/>
  <c r="G35" i="1"/>
  <c r="G43" i="1"/>
  <c r="G44" i="1"/>
  <c r="G46" i="1"/>
  <c r="G51" i="1"/>
  <c r="G59" i="1"/>
  <c r="G60" i="1"/>
  <c r="G62" i="1"/>
  <c r="G67" i="1"/>
  <c r="G75" i="1"/>
  <c r="G76" i="1"/>
  <c r="G78" i="1"/>
  <c r="G83" i="1"/>
  <c r="G91" i="1"/>
  <c r="G92" i="1"/>
  <c r="G94" i="1"/>
  <c r="G99" i="1"/>
  <c r="G107" i="1"/>
  <c r="G108" i="1"/>
  <c r="G110" i="1"/>
  <c r="G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K7" i="1" s="1"/>
  <c r="Q7" i="1" s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2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G111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J105" i="2" l="1"/>
  <c r="J104" i="2"/>
  <c r="J88" i="2"/>
  <c r="J72" i="2"/>
  <c r="J56" i="2"/>
  <c r="J40" i="2"/>
  <c r="J24" i="2"/>
  <c r="J8" i="2"/>
  <c r="J103" i="2"/>
  <c r="J87" i="2"/>
  <c r="J71" i="2"/>
  <c r="J55" i="2"/>
  <c r="J39" i="2"/>
  <c r="J23" i="2"/>
  <c r="J7" i="2"/>
  <c r="J73" i="2"/>
  <c r="J102" i="2"/>
  <c r="J86" i="2"/>
  <c r="J70" i="2"/>
  <c r="J54" i="2"/>
  <c r="J38" i="2"/>
  <c r="J22" i="2"/>
  <c r="J6" i="2"/>
  <c r="J101" i="2"/>
  <c r="J85" i="2"/>
  <c r="J69" i="2"/>
  <c r="J53" i="2"/>
  <c r="J37" i="2"/>
  <c r="J21" i="2"/>
  <c r="J5" i="2"/>
  <c r="J100" i="2"/>
  <c r="J84" i="2"/>
  <c r="J68" i="2"/>
  <c r="J52" i="2"/>
  <c r="J36" i="2"/>
  <c r="J20" i="2"/>
  <c r="J4" i="2"/>
  <c r="J99" i="2"/>
  <c r="J83" i="2"/>
  <c r="J67" i="2"/>
  <c r="J51" i="2"/>
  <c r="J35" i="2"/>
  <c r="J19" i="2"/>
  <c r="J3" i="2"/>
  <c r="J98" i="2"/>
  <c r="J50" i="2"/>
  <c r="J113" i="2"/>
  <c r="J97" i="2"/>
  <c r="J81" i="2"/>
  <c r="J65" i="2"/>
  <c r="J49" i="2"/>
  <c r="J33" i="2"/>
  <c r="J17" i="2"/>
  <c r="J66" i="2"/>
  <c r="J9" i="2"/>
  <c r="J2" i="2"/>
  <c r="J112" i="2"/>
  <c r="J96" i="2"/>
  <c r="J80" i="2"/>
  <c r="J64" i="2"/>
  <c r="J48" i="2"/>
  <c r="J32" i="2"/>
  <c r="J16" i="2"/>
  <c r="J89" i="2"/>
  <c r="J82" i="2"/>
  <c r="J111" i="2"/>
  <c r="J95" i="2"/>
  <c r="J79" i="2"/>
  <c r="J63" i="2"/>
  <c r="J47" i="2"/>
  <c r="J31" i="2"/>
  <c r="J15" i="2"/>
  <c r="J110" i="2"/>
  <c r="J94" i="2"/>
  <c r="J78" i="2"/>
  <c r="J62" i="2"/>
  <c r="J46" i="2"/>
  <c r="J30" i="2"/>
  <c r="J14" i="2"/>
  <c r="J18" i="2"/>
  <c r="J109" i="2"/>
  <c r="J93" i="2"/>
  <c r="J77" i="2"/>
  <c r="J61" i="2"/>
  <c r="J45" i="2"/>
  <c r="J29" i="2"/>
  <c r="J13" i="2"/>
  <c r="J25" i="2"/>
  <c r="J34" i="2"/>
  <c r="J108" i="2"/>
  <c r="J92" i="2"/>
  <c r="J76" i="2"/>
  <c r="J60" i="2"/>
  <c r="J44" i="2"/>
  <c r="J28" i="2"/>
  <c r="J12" i="2"/>
  <c r="J107" i="2"/>
  <c r="J91" i="2"/>
  <c r="J75" i="2"/>
  <c r="J59" i="2"/>
  <c r="J43" i="2"/>
  <c r="J27" i="2"/>
  <c r="J11" i="2"/>
  <c r="J106" i="2"/>
  <c r="J90" i="2"/>
  <c r="J74" i="2"/>
  <c r="J58" i="2"/>
  <c r="J42" i="2"/>
  <c r="J26" i="2"/>
  <c r="J10" i="2"/>
  <c r="G98" i="1"/>
  <c r="G82" i="1"/>
  <c r="G66" i="1"/>
  <c r="G50" i="1"/>
  <c r="G34" i="1"/>
  <c r="G18" i="1"/>
  <c r="K2" i="1"/>
  <c r="Q2" i="1" s="1"/>
  <c r="K21" i="1"/>
  <c r="Q21" i="1" s="1"/>
  <c r="K5" i="1"/>
  <c r="Q5" i="1" s="1"/>
  <c r="F86" i="2"/>
  <c r="P86" i="2" s="1"/>
  <c r="F70" i="2"/>
  <c r="P70" i="2" s="1"/>
  <c r="F54" i="2"/>
  <c r="P54" i="2" s="1"/>
  <c r="F38" i="2"/>
  <c r="P38" i="2" s="1"/>
  <c r="F22" i="2"/>
  <c r="P22" i="2" s="1"/>
  <c r="F6" i="2"/>
  <c r="P6" i="2" s="1"/>
  <c r="G97" i="1"/>
  <c r="G81" i="1"/>
  <c r="G65" i="1"/>
  <c r="G49" i="1"/>
  <c r="G33" i="1"/>
  <c r="G17" i="1"/>
  <c r="K36" i="1"/>
  <c r="Q36" i="1" s="1"/>
  <c r="K20" i="1"/>
  <c r="Q20" i="1" s="1"/>
  <c r="K4" i="1"/>
  <c r="Q4" i="1" s="1"/>
  <c r="G2" i="2"/>
  <c r="F85" i="2"/>
  <c r="P85" i="2" s="1"/>
  <c r="F69" i="2"/>
  <c r="P69" i="2" s="1"/>
  <c r="F53" i="2"/>
  <c r="P53" i="2" s="1"/>
  <c r="F37" i="2"/>
  <c r="P37" i="2" s="1"/>
  <c r="F21" i="2"/>
  <c r="P21" i="2" s="1"/>
  <c r="F5" i="2"/>
  <c r="P5" i="2" s="1"/>
  <c r="K6" i="1"/>
  <c r="Q6" i="1" s="1"/>
  <c r="G96" i="1"/>
  <c r="G80" i="1"/>
  <c r="G64" i="1"/>
  <c r="G48" i="1"/>
  <c r="G32" i="1"/>
  <c r="G16" i="1"/>
  <c r="K35" i="1"/>
  <c r="Q35" i="1" s="1"/>
  <c r="K19" i="1"/>
  <c r="Q19" i="1" s="1"/>
  <c r="K3" i="1"/>
  <c r="Q3" i="1" s="1"/>
  <c r="F84" i="2"/>
  <c r="P84" i="2" s="1"/>
  <c r="F68" i="2"/>
  <c r="P68" i="2" s="1"/>
  <c r="F52" i="2"/>
  <c r="P52" i="2" s="1"/>
  <c r="F36" i="2"/>
  <c r="P36" i="2" s="1"/>
  <c r="F20" i="2"/>
  <c r="P20" i="2" s="1"/>
  <c r="F4" i="2"/>
  <c r="P4" i="2" s="1"/>
  <c r="K22" i="1"/>
  <c r="Q22" i="1" s="1"/>
  <c r="G95" i="1"/>
  <c r="G79" i="1"/>
  <c r="G63" i="1"/>
  <c r="G47" i="1"/>
  <c r="G31" i="1"/>
  <c r="G15" i="1"/>
  <c r="K34" i="1"/>
  <c r="Q34" i="1" s="1"/>
  <c r="K18" i="1"/>
  <c r="Q18" i="1" s="1"/>
  <c r="F83" i="2"/>
  <c r="P83" i="2" s="1"/>
  <c r="F67" i="2"/>
  <c r="P67" i="2" s="1"/>
  <c r="F51" i="2"/>
  <c r="P51" i="2" s="1"/>
  <c r="F35" i="2"/>
  <c r="P35" i="2" s="1"/>
  <c r="F19" i="2"/>
  <c r="P19" i="2" s="1"/>
  <c r="F3" i="2"/>
  <c r="P3" i="2" s="1"/>
  <c r="P112" i="2"/>
  <c r="G109" i="1"/>
  <c r="G93" i="1"/>
  <c r="G77" i="1"/>
  <c r="G61" i="1"/>
  <c r="G45" i="1"/>
  <c r="G29" i="1"/>
  <c r="G13" i="1"/>
  <c r="K32" i="1"/>
  <c r="Q32" i="1" s="1"/>
  <c r="K16" i="1"/>
  <c r="Q16" i="1" s="1"/>
  <c r="F81" i="2"/>
  <c r="P81" i="2" s="1"/>
  <c r="F65" i="2"/>
  <c r="P65" i="2" s="1"/>
  <c r="F49" i="2"/>
  <c r="P49" i="2" s="1"/>
  <c r="F33" i="2"/>
  <c r="P33" i="2" s="1"/>
  <c r="F17" i="2"/>
  <c r="P17" i="2" s="1"/>
  <c r="G106" i="1"/>
  <c r="G90" i="1"/>
  <c r="G74" i="1"/>
  <c r="G58" i="1"/>
  <c r="G42" i="1"/>
  <c r="G26" i="1"/>
  <c r="G10" i="1"/>
  <c r="K29" i="1"/>
  <c r="Q29" i="1" s="1"/>
  <c r="K13" i="1"/>
  <c r="Q13" i="1" s="1"/>
  <c r="F78" i="2"/>
  <c r="P78" i="2" s="1"/>
  <c r="F62" i="2"/>
  <c r="P62" i="2" s="1"/>
  <c r="F46" i="2"/>
  <c r="P46" i="2" s="1"/>
  <c r="F30" i="2"/>
  <c r="P30" i="2" s="1"/>
  <c r="F14" i="2"/>
  <c r="P14" i="2" s="1"/>
  <c r="G105" i="1"/>
  <c r="G89" i="1"/>
  <c r="G73" i="1"/>
  <c r="G57" i="1"/>
  <c r="G41" i="1"/>
  <c r="G25" i="1"/>
  <c r="G9" i="1"/>
  <c r="K28" i="1"/>
  <c r="Q28" i="1" s="1"/>
  <c r="K12" i="1"/>
  <c r="Q12" i="1" s="1"/>
  <c r="F77" i="2"/>
  <c r="P77" i="2" s="1"/>
  <c r="F61" i="2"/>
  <c r="P61" i="2" s="1"/>
  <c r="F45" i="2"/>
  <c r="P45" i="2" s="1"/>
  <c r="F29" i="2"/>
  <c r="P29" i="2" s="1"/>
  <c r="F13" i="2"/>
  <c r="P13" i="2" s="1"/>
  <c r="G104" i="1"/>
  <c r="G88" i="1"/>
  <c r="G72" i="1"/>
  <c r="G56" i="1"/>
  <c r="G40" i="1"/>
  <c r="G24" i="1"/>
  <c r="G8" i="1"/>
  <c r="K27" i="1"/>
  <c r="Q27" i="1" s="1"/>
  <c r="K11" i="1"/>
  <c r="Q11" i="1" s="1"/>
  <c r="F76" i="2"/>
  <c r="P76" i="2" s="1"/>
  <c r="F60" i="2"/>
  <c r="P60" i="2" s="1"/>
  <c r="F44" i="2"/>
  <c r="P44" i="2" s="1"/>
  <c r="F28" i="2"/>
  <c r="P28" i="2" s="1"/>
  <c r="F12" i="2"/>
  <c r="P12" i="2" s="1"/>
  <c r="K30" i="1"/>
  <c r="Q30" i="1" s="1"/>
  <c r="G103" i="1"/>
  <c r="G87" i="1"/>
  <c r="G71" i="1"/>
  <c r="G55" i="1"/>
  <c r="G39" i="1"/>
  <c r="G23" i="1"/>
  <c r="G7" i="1"/>
  <c r="K26" i="1"/>
  <c r="Q26" i="1" s="1"/>
  <c r="K10" i="1"/>
  <c r="Q10" i="1" s="1"/>
  <c r="F75" i="2"/>
  <c r="P75" i="2" s="1"/>
  <c r="F59" i="2"/>
  <c r="P59" i="2" s="1"/>
  <c r="F43" i="2"/>
  <c r="P43" i="2" s="1"/>
  <c r="F27" i="2"/>
  <c r="P27" i="2" s="1"/>
  <c r="F11" i="2"/>
  <c r="P11" i="2" s="1"/>
  <c r="G102" i="1"/>
  <c r="G86" i="1"/>
  <c r="G70" i="1"/>
  <c r="G54" i="1"/>
  <c r="G38" i="1"/>
  <c r="G22" i="1"/>
  <c r="G6" i="1"/>
  <c r="K25" i="1"/>
  <c r="Q25" i="1" s="1"/>
  <c r="K9" i="1"/>
  <c r="Q9" i="1" s="1"/>
  <c r="F90" i="2"/>
  <c r="P90" i="2" s="1"/>
  <c r="F74" i="2"/>
  <c r="P74" i="2" s="1"/>
  <c r="F58" i="2"/>
  <c r="P58" i="2" s="1"/>
  <c r="F42" i="2"/>
  <c r="P42" i="2" s="1"/>
  <c r="F26" i="2"/>
  <c r="P26" i="2" s="1"/>
  <c r="F10" i="2"/>
  <c r="P10" i="2" s="1"/>
  <c r="G101" i="1"/>
  <c r="G85" i="1"/>
  <c r="G69" i="1"/>
  <c r="G53" i="1"/>
  <c r="G37" i="1"/>
  <c r="G21" i="1"/>
  <c r="G5" i="1"/>
  <c r="K24" i="1"/>
  <c r="Q24" i="1" s="1"/>
  <c r="K8" i="1"/>
  <c r="Q8" i="1" s="1"/>
  <c r="F89" i="2"/>
  <c r="P89" i="2" s="1"/>
  <c r="F73" i="2"/>
  <c r="P73" i="2" s="1"/>
  <c r="F57" i="2"/>
  <c r="P57" i="2" s="1"/>
  <c r="F41" i="2"/>
  <c r="P41" i="2" s="1"/>
  <c r="F25" i="2"/>
  <c r="P25" i="2" s="1"/>
  <c r="F9" i="2"/>
  <c r="P9" i="2" s="1"/>
  <c r="K14" i="1"/>
  <c r="Q14" i="1" s="1"/>
  <c r="G100" i="1"/>
  <c r="G84" i="1"/>
  <c r="G68" i="1"/>
  <c r="G52" i="1"/>
  <c r="G36" i="1"/>
  <c r="G20" i="1"/>
  <c r="G4" i="1"/>
  <c r="K23" i="1"/>
  <c r="Q23" i="1" s="1"/>
  <c r="F88" i="2"/>
  <c r="P88" i="2" s="1"/>
  <c r="F72" i="2"/>
  <c r="P72" i="2" s="1"/>
  <c r="F56" i="2"/>
  <c r="P56" i="2" s="1"/>
  <c r="F40" i="2"/>
  <c r="P40" i="2" s="1"/>
  <c r="F24" i="2"/>
  <c r="P24" i="2" s="1"/>
  <c r="F8" i="2"/>
  <c r="P8" i="2" s="1"/>
  <c r="J111" i="5"/>
  <c r="J107" i="5"/>
  <c r="J110" i="5"/>
  <c r="J108" i="5"/>
  <c r="J109" i="5"/>
  <c r="J101" i="5"/>
  <c r="J49" i="5"/>
  <c r="J24" i="5"/>
  <c r="J67" i="5"/>
  <c r="J31" i="5"/>
  <c r="J44" i="5"/>
  <c r="J79" i="5"/>
  <c r="J25" i="5"/>
  <c r="J38" i="5"/>
  <c r="J56" i="5"/>
  <c r="J85" i="5"/>
  <c r="J32" i="5"/>
  <c r="J8" i="5"/>
  <c r="J17" i="5"/>
  <c r="J26" i="5"/>
  <c r="J51" i="5"/>
  <c r="J18" i="5"/>
  <c r="J63" i="5"/>
  <c r="J9" i="5"/>
  <c r="J33" i="5"/>
  <c r="J69" i="5"/>
  <c r="J92" i="5"/>
  <c r="J2" i="5"/>
  <c r="J10" i="5"/>
  <c r="J27" i="5"/>
  <c r="J40" i="5"/>
  <c r="A5" i="5"/>
  <c r="F4" i="5"/>
  <c r="G4" i="5" s="1"/>
  <c r="J34" i="5"/>
  <c r="J104" i="5"/>
  <c r="J28" i="5"/>
  <c r="J47" i="5"/>
  <c r="J76" i="5"/>
  <c r="J99" i="5"/>
  <c r="J21" i="5"/>
  <c r="J53" i="5"/>
  <c r="J97" i="5"/>
  <c r="J12" i="5"/>
  <c r="J35" i="5"/>
  <c r="J65" i="5"/>
  <c r="J88" i="5"/>
  <c r="J29" i="5"/>
  <c r="J42" i="5"/>
  <c r="J83" i="5"/>
  <c r="J37" i="5"/>
  <c r="J3" i="5"/>
  <c r="J36" i="5"/>
  <c r="J60" i="5"/>
  <c r="J106" i="5"/>
  <c r="J46" i="5"/>
  <c r="J78" i="5"/>
  <c r="J15" i="5"/>
  <c r="J87" i="5"/>
  <c r="J71" i="5"/>
  <c r="J55" i="5"/>
  <c r="J22" i="5"/>
  <c r="J6" i="5"/>
  <c r="J64" i="5"/>
  <c r="J48" i="5"/>
  <c r="J13" i="5"/>
  <c r="J20" i="5"/>
  <c r="J4" i="5"/>
  <c r="J62" i="5"/>
  <c r="J94" i="5"/>
  <c r="J5" i="5"/>
  <c r="J30" i="5"/>
  <c r="J72" i="5"/>
  <c r="J95" i="5"/>
  <c r="J14" i="5"/>
  <c r="J7" i="5"/>
  <c r="J23" i="5"/>
  <c r="J54" i="5"/>
  <c r="J70" i="5"/>
  <c r="J86" i="5"/>
  <c r="J102" i="5"/>
  <c r="J16" i="5"/>
  <c r="J45" i="5"/>
  <c r="J61" i="5"/>
  <c r="J77" i="5"/>
  <c r="J93" i="5"/>
  <c r="J39" i="5"/>
  <c r="J41" i="5"/>
  <c r="J43" i="5"/>
  <c r="J52" i="5"/>
  <c r="J68" i="5"/>
  <c r="J84" i="5"/>
  <c r="J100" i="5"/>
  <c r="J59" i="5"/>
  <c r="J75" i="5"/>
  <c r="J91" i="5"/>
  <c r="J11" i="5"/>
  <c r="J50" i="5"/>
  <c r="J66" i="5"/>
  <c r="J82" i="5"/>
  <c r="J98" i="5"/>
  <c r="J57" i="5"/>
  <c r="J73" i="5"/>
  <c r="J89" i="5"/>
  <c r="J105" i="5"/>
  <c r="J80" i="5"/>
  <c r="J96" i="5"/>
  <c r="J103" i="5"/>
  <c r="J19" i="5"/>
  <c r="J58" i="5"/>
  <c r="J74" i="5"/>
  <c r="J90" i="5"/>
  <c r="J81" i="5"/>
  <c r="J6" i="4"/>
  <c r="J22" i="4"/>
  <c r="J55" i="4"/>
  <c r="J72" i="4"/>
  <c r="J7" i="4"/>
  <c r="J23" i="4"/>
  <c r="J36" i="4"/>
  <c r="J64" i="4"/>
  <c r="J98" i="4"/>
  <c r="J46" i="4"/>
  <c r="J106" i="4"/>
  <c r="J8" i="4"/>
  <c r="J24" i="4"/>
  <c r="J37" i="4"/>
  <c r="J47" i="4"/>
  <c r="J56" i="4"/>
  <c r="J90" i="4"/>
  <c r="J9" i="4"/>
  <c r="J25" i="4"/>
  <c r="J38" i="4"/>
  <c r="J82" i="4"/>
  <c r="J99" i="4"/>
  <c r="J10" i="4"/>
  <c r="J39" i="4"/>
  <c r="J48" i="4"/>
  <c r="J74" i="4"/>
  <c r="J91" i="4"/>
  <c r="J100" i="4"/>
  <c r="J26" i="4"/>
  <c r="J11" i="4"/>
  <c r="J27" i="4"/>
  <c r="J49" i="4"/>
  <c r="J66" i="4"/>
  <c r="J83" i="4"/>
  <c r="J92" i="4"/>
  <c r="J12" i="4"/>
  <c r="J28" i="4"/>
  <c r="J40" i="4"/>
  <c r="J58" i="4"/>
  <c r="J75" i="4"/>
  <c r="J84" i="4"/>
  <c r="J101" i="4"/>
  <c r="J13" i="4"/>
  <c r="J29" i="4"/>
  <c r="J41" i="4"/>
  <c r="J50" i="4"/>
  <c r="J67" i="4"/>
  <c r="J76" i="4"/>
  <c r="J93" i="4"/>
  <c r="J14" i="4"/>
  <c r="J30" i="4"/>
  <c r="J59" i="4"/>
  <c r="J68" i="4"/>
  <c r="J85" i="4"/>
  <c r="J102" i="4"/>
  <c r="J15" i="4"/>
  <c r="J31" i="4"/>
  <c r="J42" i="4"/>
  <c r="J51" i="4"/>
  <c r="J60" i="4"/>
  <c r="J77" i="4"/>
  <c r="J94" i="4"/>
  <c r="J2" i="4"/>
  <c r="J16" i="4"/>
  <c r="J43" i="4"/>
  <c r="J52" i="4"/>
  <c r="J69" i="4"/>
  <c r="J86" i="4"/>
  <c r="J103" i="4"/>
  <c r="A5" i="4"/>
  <c r="F4" i="4"/>
  <c r="G4" i="4" s="1"/>
  <c r="J17" i="4"/>
  <c r="J32" i="4"/>
  <c r="J61" i="4"/>
  <c r="J78" i="4"/>
  <c r="J95" i="4"/>
  <c r="J18" i="4"/>
  <c r="J33" i="4"/>
  <c r="J44" i="4"/>
  <c r="J53" i="4"/>
  <c r="J70" i="4"/>
  <c r="J87" i="4"/>
  <c r="J104" i="4"/>
  <c r="J89" i="4"/>
  <c r="J97" i="4"/>
  <c r="J81" i="4"/>
  <c r="J105" i="4"/>
  <c r="J73" i="4"/>
  <c r="J45" i="4"/>
  <c r="J65" i="4"/>
  <c r="J3" i="4"/>
  <c r="J57" i="4"/>
  <c r="J19" i="4"/>
  <c r="J62" i="4"/>
  <c r="J79" i="4"/>
  <c r="J96" i="4"/>
  <c r="J4" i="4"/>
  <c r="J20" i="4"/>
  <c r="J34" i="4"/>
  <c r="J54" i="4"/>
  <c r="J71" i="4"/>
  <c r="J88" i="4"/>
  <c r="J5" i="4"/>
  <c r="J21" i="4"/>
  <c r="J35" i="4"/>
  <c r="J63" i="4"/>
  <c r="J80" i="4"/>
  <c r="F3" i="3"/>
  <c r="G3" i="3" s="1"/>
  <c r="J10" i="3"/>
  <c r="J53" i="3"/>
  <c r="J103" i="3"/>
  <c r="J11" i="3"/>
  <c r="J27" i="3"/>
  <c r="J41" i="3"/>
  <c r="J78" i="3"/>
  <c r="J90" i="3"/>
  <c r="J64" i="3"/>
  <c r="J12" i="3"/>
  <c r="J28" i="3"/>
  <c r="J54" i="3"/>
  <c r="J65" i="3"/>
  <c r="J79" i="3"/>
  <c r="J91" i="3"/>
  <c r="J104" i="3"/>
  <c r="J77" i="3"/>
  <c r="J13" i="3"/>
  <c r="J29" i="3"/>
  <c r="J42" i="3"/>
  <c r="J55" i="3"/>
  <c r="J66" i="3"/>
  <c r="J92" i="3"/>
  <c r="J89" i="3"/>
  <c r="J14" i="3"/>
  <c r="J30" i="3"/>
  <c r="J67" i="3"/>
  <c r="J80" i="3"/>
  <c r="J93" i="3"/>
  <c r="J105" i="3"/>
  <c r="J2" i="3"/>
  <c r="J15" i="3"/>
  <c r="J31" i="3"/>
  <c r="J43" i="3"/>
  <c r="J56" i="3"/>
  <c r="J68" i="3"/>
  <c r="J94" i="3"/>
  <c r="J106" i="3"/>
  <c r="J16" i="3"/>
  <c r="J32" i="3"/>
  <c r="J44" i="3"/>
  <c r="J69" i="3"/>
  <c r="J81" i="3"/>
  <c r="J95" i="3"/>
  <c r="J107" i="3"/>
  <c r="J17" i="3"/>
  <c r="J33" i="3"/>
  <c r="J45" i="3"/>
  <c r="J57" i="3"/>
  <c r="J70" i="3"/>
  <c r="J82" i="3"/>
  <c r="J108" i="3"/>
  <c r="J26" i="3"/>
  <c r="J3" i="3"/>
  <c r="J18" i="3"/>
  <c r="J34" i="3"/>
  <c r="J58" i="3"/>
  <c r="J71" i="3"/>
  <c r="J83" i="3"/>
  <c r="J96" i="3"/>
  <c r="J109" i="3"/>
  <c r="F5" i="3"/>
  <c r="G5" i="3" s="1"/>
  <c r="A6" i="3"/>
  <c r="J19" i="3"/>
  <c r="J35" i="3"/>
  <c r="J46" i="3"/>
  <c r="J59" i="3"/>
  <c r="J84" i="3"/>
  <c r="J110" i="3"/>
  <c r="J4" i="3"/>
  <c r="J20" i="3"/>
  <c r="J36" i="3"/>
  <c r="J47" i="3"/>
  <c r="J60" i="3"/>
  <c r="J72" i="3"/>
  <c r="J85" i="3"/>
  <c r="J97" i="3"/>
  <c r="J111" i="3"/>
  <c r="J5" i="3"/>
  <c r="J21" i="3"/>
  <c r="J37" i="3"/>
  <c r="J48" i="3"/>
  <c r="J61" i="3"/>
  <c r="J86" i="3"/>
  <c r="J98" i="3"/>
  <c r="J6" i="3"/>
  <c r="J22" i="3"/>
  <c r="J38" i="3"/>
  <c r="J49" i="3"/>
  <c r="J73" i="3"/>
  <c r="J87" i="3"/>
  <c r="J99" i="3"/>
  <c r="J7" i="3"/>
  <c r="J23" i="3"/>
  <c r="J39" i="3"/>
  <c r="J50" i="3"/>
  <c r="J62" i="3"/>
  <c r="J74" i="3"/>
  <c r="J100" i="3"/>
  <c r="J112" i="3"/>
  <c r="J8" i="3"/>
  <c r="J24" i="3"/>
  <c r="J51" i="3"/>
  <c r="J63" i="3"/>
  <c r="J75" i="3"/>
  <c r="J88" i="3"/>
  <c r="J101" i="3"/>
  <c r="J9" i="3"/>
  <c r="J25" i="3"/>
  <c r="J40" i="3"/>
  <c r="J52" i="3"/>
  <c r="J76" i="3"/>
  <c r="J102" i="3"/>
  <c r="J113" i="3"/>
  <c r="F4" i="3"/>
  <c r="G4" i="3" s="1"/>
  <c r="G3" i="2"/>
  <c r="G4" i="2"/>
  <c r="A92" i="2"/>
  <c r="G6" i="2"/>
  <c r="G5" i="2"/>
  <c r="K4" i="5" l="1"/>
  <c r="K20" i="5"/>
  <c r="K36" i="5"/>
  <c r="K52" i="5"/>
  <c r="P52" i="5" s="1"/>
  <c r="K68" i="5"/>
  <c r="P68" i="5" s="1"/>
  <c r="K84" i="5"/>
  <c r="P84" i="5" s="1"/>
  <c r="K100" i="5"/>
  <c r="P100" i="5" s="1"/>
  <c r="K108" i="5"/>
  <c r="P108" i="5" s="1"/>
  <c r="K5" i="5"/>
  <c r="K21" i="5"/>
  <c r="K37" i="5"/>
  <c r="P37" i="5" s="1"/>
  <c r="K53" i="5"/>
  <c r="P53" i="5" s="1"/>
  <c r="K69" i="5"/>
  <c r="P69" i="5" s="1"/>
  <c r="K85" i="5"/>
  <c r="P85" i="5" s="1"/>
  <c r="K101" i="5"/>
  <c r="P101" i="5" s="1"/>
  <c r="K110" i="5"/>
  <c r="P110" i="5" s="1"/>
  <c r="K6" i="5"/>
  <c r="K22" i="5"/>
  <c r="K38" i="5"/>
  <c r="K54" i="5"/>
  <c r="P54" i="5" s="1"/>
  <c r="K70" i="5"/>
  <c r="P70" i="5" s="1"/>
  <c r="K86" i="5"/>
  <c r="P86" i="5" s="1"/>
  <c r="K102" i="5"/>
  <c r="P102" i="5" s="1"/>
  <c r="K92" i="5"/>
  <c r="P92" i="5" s="1"/>
  <c r="K46" i="5"/>
  <c r="P46" i="5" s="1"/>
  <c r="K51" i="5"/>
  <c r="P51" i="5" s="1"/>
  <c r="K7" i="5"/>
  <c r="P7" i="5" s="1"/>
  <c r="K23" i="5"/>
  <c r="K39" i="5"/>
  <c r="P39" i="5" s="1"/>
  <c r="K55" i="5"/>
  <c r="P55" i="5" s="1"/>
  <c r="K71" i="5"/>
  <c r="P71" i="5" s="1"/>
  <c r="K87" i="5"/>
  <c r="P87" i="5" s="1"/>
  <c r="K103" i="5"/>
  <c r="P103" i="5" s="1"/>
  <c r="K44" i="5"/>
  <c r="P44" i="5" s="1"/>
  <c r="K3" i="5"/>
  <c r="K8" i="5"/>
  <c r="K24" i="5"/>
  <c r="K40" i="5"/>
  <c r="P40" i="5" s="1"/>
  <c r="K56" i="5"/>
  <c r="P56" i="5" s="1"/>
  <c r="K72" i="5"/>
  <c r="P72" i="5" s="1"/>
  <c r="K88" i="5"/>
  <c r="P88" i="5" s="1"/>
  <c r="K104" i="5"/>
  <c r="P104" i="5" s="1"/>
  <c r="K28" i="5"/>
  <c r="P28" i="5" s="1"/>
  <c r="K78" i="5"/>
  <c r="P78" i="5" s="1"/>
  <c r="K99" i="5"/>
  <c r="P99" i="5" s="1"/>
  <c r="K9" i="5"/>
  <c r="K25" i="5"/>
  <c r="K41" i="5"/>
  <c r="P41" i="5" s="1"/>
  <c r="K57" i="5"/>
  <c r="P57" i="5" s="1"/>
  <c r="K73" i="5"/>
  <c r="P73" i="5" s="1"/>
  <c r="K89" i="5"/>
  <c r="P89" i="5" s="1"/>
  <c r="K105" i="5"/>
  <c r="P105" i="5" s="1"/>
  <c r="K12" i="5"/>
  <c r="K14" i="5"/>
  <c r="K10" i="5"/>
  <c r="K26" i="5"/>
  <c r="K42" i="5"/>
  <c r="P42" i="5" s="1"/>
  <c r="K58" i="5"/>
  <c r="P58" i="5" s="1"/>
  <c r="K74" i="5"/>
  <c r="P74" i="5" s="1"/>
  <c r="K90" i="5"/>
  <c r="P90" i="5" s="1"/>
  <c r="K106" i="5"/>
  <c r="P106" i="5" s="1"/>
  <c r="K60" i="5"/>
  <c r="P60" i="5" s="1"/>
  <c r="K94" i="5"/>
  <c r="P94" i="5" s="1"/>
  <c r="K83" i="5"/>
  <c r="P83" i="5" s="1"/>
  <c r="K11" i="5"/>
  <c r="K27" i="5"/>
  <c r="K43" i="5"/>
  <c r="P43" i="5" s="1"/>
  <c r="K59" i="5"/>
  <c r="P59" i="5" s="1"/>
  <c r="K75" i="5"/>
  <c r="P75" i="5" s="1"/>
  <c r="K91" i="5"/>
  <c r="P91" i="5" s="1"/>
  <c r="K107" i="5"/>
  <c r="P107" i="5" s="1"/>
  <c r="K76" i="5"/>
  <c r="P76" i="5" s="1"/>
  <c r="K30" i="5"/>
  <c r="K19" i="5"/>
  <c r="K13" i="5"/>
  <c r="P13" i="5" s="1"/>
  <c r="K29" i="5"/>
  <c r="K45" i="5"/>
  <c r="P45" i="5" s="1"/>
  <c r="K61" i="5"/>
  <c r="P61" i="5" s="1"/>
  <c r="K77" i="5"/>
  <c r="P77" i="5" s="1"/>
  <c r="K93" i="5"/>
  <c r="P93" i="5" s="1"/>
  <c r="K109" i="5"/>
  <c r="P109" i="5" s="1"/>
  <c r="K62" i="5"/>
  <c r="P62" i="5" s="1"/>
  <c r="K35" i="5"/>
  <c r="K15" i="5"/>
  <c r="K31" i="5"/>
  <c r="K47" i="5"/>
  <c r="P47" i="5" s="1"/>
  <c r="K63" i="5"/>
  <c r="P63" i="5" s="1"/>
  <c r="K79" i="5"/>
  <c r="P79" i="5" s="1"/>
  <c r="K95" i="5"/>
  <c r="P95" i="5" s="1"/>
  <c r="K111" i="5"/>
  <c r="P111" i="5" s="1"/>
  <c r="K18" i="5"/>
  <c r="P18" i="5" s="1"/>
  <c r="K66" i="5"/>
  <c r="P66" i="5" s="1"/>
  <c r="K16" i="5"/>
  <c r="P16" i="5" s="1"/>
  <c r="K32" i="5"/>
  <c r="K48" i="5"/>
  <c r="P48" i="5" s="1"/>
  <c r="K64" i="5"/>
  <c r="P64" i="5" s="1"/>
  <c r="K80" i="5"/>
  <c r="P80" i="5" s="1"/>
  <c r="K96" i="5"/>
  <c r="P96" i="5" s="1"/>
  <c r="K2" i="5"/>
  <c r="K34" i="5"/>
  <c r="K82" i="5"/>
  <c r="P82" i="5" s="1"/>
  <c r="K17" i="5"/>
  <c r="K33" i="5"/>
  <c r="P33" i="5" s="1"/>
  <c r="K49" i="5"/>
  <c r="P49" i="5" s="1"/>
  <c r="K65" i="5"/>
  <c r="P65" i="5" s="1"/>
  <c r="K81" i="5"/>
  <c r="P81" i="5" s="1"/>
  <c r="K97" i="5"/>
  <c r="P97" i="5" s="1"/>
  <c r="K50" i="5"/>
  <c r="P50" i="5" s="1"/>
  <c r="K98" i="5"/>
  <c r="P98" i="5" s="1"/>
  <c r="K67" i="5"/>
  <c r="P67" i="5" s="1"/>
  <c r="K8" i="2"/>
  <c r="K24" i="2"/>
  <c r="K40" i="2"/>
  <c r="K32" i="2"/>
  <c r="K9" i="2"/>
  <c r="K25" i="2"/>
  <c r="K41" i="2"/>
  <c r="K10" i="2"/>
  <c r="K26" i="2"/>
  <c r="K42" i="2"/>
  <c r="K11" i="2"/>
  <c r="K27" i="2"/>
  <c r="K43" i="2"/>
  <c r="K12" i="2"/>
  <c r="K28" i="2"/>
  <c r="K44" i="2"/>
  <c r="K47" i="2"/>
  <c r="K13" i="2"/>
  <c r="K29" i="2"/>
  <c r="K45" i="2"/>
  <c r="K31" i="2"/>
  <c r="K16" i="2"/>
  <c r="K14" i="2"/>
  <c r="K30" i="2"/>
  <c r="K46" i="2"/>
  <c r="K15" i="2"/>
  <c r="K48" i="2"/>
  <c r="K17" i="2"/>
  <c r="K33" i="2"/>
  <c r="K49" i="2"/>
  <c r="K2" i="2"/>
  <c r="K34" i="2"/>
  <c r="K18" i="2"/>
  <c r="K3" i="2"/>
  <c r="K19" i="2"/>
  <c r="K35" i="2"/>
  <c r="K4" i="2"/>
  <c r="K20" i="2"/>
  <c r="K36" i="2"/>
  <c r="K23" i="2"/>
  <c r="K5" i="2"/>
  <c r="K21" i="2"/>
  <c r="K37" i="2"/>
  <c r="K7" i="2"/>
  <c r="K6" i="2"/>
  <c r="K22" i="2"/>
  <c r="K38" i="2"/>
  <c r="K39" i="2"/>
  <c r="A93" i="2"/>
  <c r="F92" i="2"/>
  <c r="P92" i="2" s="1"/>
  <c r="P4" i="5"/>
  <c r="P8" i="5"/>
  <c r="P12" i="5"/>
  <c r="P20" i="5"/>
  <c r="P24" i="5"/>
  <c r="P32" i="5"/>
  <c r="P36" i="5"/>
  <c r="P5" i="5"/>
  <c r="P9" i="5"/>
  <c r="P17" i="5"/>
  <c r="P21" i="5"/>
  <c r="P25" i="5"/>
  <c r="P29" i="5"/>
  <c r="P6" i="5"/>
  <c r="P10" i="5"/>
  <c r="P14" i="5"/>
  <c r="P22" i="5"/>
  <c r="P26" i="5"/>
  <c r="P30" i="5"/>
  <c r="P34" i="5"/>
  <c r="P38" i="5"/>
  <c r="P3" i="5"/>
  <c r="P11" i="5"/>
  <c r="P15" i="5"/>
  <c r="P19" i="5"/>
  <c r="P23" i="5"/>
  <c r="P27" i="5"/>
  <c r="P31" i="5"/>
  <c r="P35" i="5"/>
  <c r="P2" i="5"/>
  <c r="F5" i="5"/>
  <c r="G5" i="5" s="1"/>
  <c r="A6" i="5"/>
  <c r="K13" i="4"/>
  <c r="K29" i="4"/>
  <c r="K14" i="4"/>
  <c r="K30" i="4"/>
  <c r="K15" i="4"/>
  <c r="K31" i="4"/>
  <c r="K16" i="4"/>
  <c r="K32" i="4"/>
  <c r="K17" i="4"/>
  <c r="K33" i="4"/>
  <c r="K18" i="4"/>
  <c r="K34" i="4"/>
  <c r="K3" i="4"/>
  <c r="K19" i="4"/>
  <c r="K35" i="4"/>
  <c r="K4" i="4"/>
  <c r="K20" i="4"/>
  <c r="K36" i="4"/>
  <c r="K5" i="4"/>
  <c r="K21" i="4"/>
  <c r="K37" i="4"/>
  <c r="K6" i="4"/>
  <c r="K22" i="4"/>
  <c r="K38" i="4"/>
  <c r="K28" i="4"/>
  <c r="K7" i="4"/>
  <c r="K23" i="4"/>
  <c r="K39" i="4"/>
  <c r="K12" i="4"/>
  <c r="K8" i="4"/>
  <c r="K24" i="4"/>
  <c r="K40" i="4"/>
  <c r="K2" i="4"/>
  <c r="K9" i="4"/>
  <c r="K25" i="4"/>
  <c r="K41" i="4"/>
  <c r="K10" i="4"/>
  <c r="K26" i="4"/>
  <c r="K42" i="4"/>
  <c r="K11" i="4"/>
  <c r="K27" i="4"/>
  <c r="K43" i="4"/>
  <c r="F5" i="4"/>
  <c r="G5" i="4" s="1"/>
  <c r="A6" i="4"/>
  <c r="K35" i="3"/>
  <c r="K44" i="3"/>
  <c r="K37" i="3"/>
  <c r="K46" i="3"/>
  <c r="K39" i="3"/>
  <c r="K30" i="3"/>
  <c r="K28" i="3"/>
  <c r="K26" i="3"/>
  <c r="K24" i="3"/>
  <c r="K22" i="3"/>
  <c r="K20" i="3"/>
  <c r="K18" i="3"/>
  <c r="K16" i="3"/>
  <c r="K14" i="3"/>
  <c r="K12" i="3"/>
  <c r="K10" i="3"/>
  <c r="K8" i="3"/>
  <c r="K6" i="3"/>
  <c r="K4" i="3"/>
  <c r="K2" i="3"/>
  <c r="K48" i="3"/>
  <c r="K32" i="3"/>
  <c r="K41" i="3"/>
  <c r="K34" i="3"/>
  <c r="K43" i="3"/>
  <c r="K36" i="3"/>
  <c r="K45" i="3"/>
  <c r="K38" i="3"/>
  <c r="K47" i="3"/>
  <c r="K31" i="3"/>
  <c r="K29" i="3"/>
  <c r="K27" i="3"/>
  <c r="K25" i="3"/>
  <c r="K23" i="3"/>
  <c r="K21" i="3"/>
  <c r="K19" i="3"/>
  <c r="K17" i="3"/>
  <c r="K15" i="3"/>
  <c r="K13" i="3"/>
  <c r="K11" i="3"/>
  <c r="K9" i="3"/>
  <c r="K7" i="3"/>
  <c r="K5" i="3"/>
  <c r="K3" i="3"/>
  <c r="K40" i="3"/>
  <c r="K49" i="3"/>
  <c r="K33" i="3"/>
  <c r="K42" i="3"/>
  <c r="A7" i="3"/>
  <c r="F6" i="3"/>
  <c r="G6" i="3" s="1"/>
  <c r="G7" i="2"/>
  <c r="A94" i="2" l="1"/>
  <c r="F93" i="2"/>
  <c r="P93" i="2" s="1"/>
  <c r="L2" i="3"/>
  <c r="L6" i="2"/>
  <c r="Q6" i="2" s="1"/>
  <c r="L22" i="2"/>
  <c r="Q22" i="2" s="1"/>
  <c r="L29" i="2"/>
  <c r="Q29" i="2" s="1"/>
  <c r="L7" i="2"/>
  <c r="Q7" i="2" s="1"/>
  <c r="L23" i="2"/>
  <c r="Q23" i="2" s="1"/>
  <c r="L8" i="2"/>
  <c r="Q8" i="2" s="1"/>
  <c r="L24" i="2"/>
  <c r="Q24" i="2" s="1"/>
  <c r="L9" i="2"/>
  <c r="Q9" i="2" s="1"/>
  <c r="L25" i="2"/>
  <c r="Q25" i="2" s="1"/>
  <c r="L13" i="2"/>
  <c r="Q13" i="2" s="1"/>
  <c r="L10" i="2"/>
  <c r="Q10" i="2" s="1"/>
  <c r="L26" i="2"/>
  <c r="Q26" i="2" s="1"/>
  <c r="L11" i="2"/>
  <c r="Q11" i="2" s="1"/>
  <c r="L27" i="2"/>
  <c r="Q27" i="2" s="1"/>
  <c r="L12" i="2"/>
  <c r="Q12" i="2" s="1"/>
  <c r="L28" i="2"/>
  <c r="Q28" i="2" s="1"/>
  <c r="L15" i="2"/>
  <c r="Q15" i="2" s="1"/>
  <c r="L2" i="2"/>
  <c r="Q2" i="2" s="1"/>
  <c r="L16" i="2"/>
  <c r="Q16" i="2" s="1"/>
  <c r="L17" i="2"/>
  <c r="Q17" i="2" s="1"/>
  <c r="L21" i="2"/>
  <c r="Q21" i="2" s="1"/>
  <c r="L18" i="2"/>
  <c r="Q18" i="2" s="1"/>
  <c r="L3" i="2"/>
  <c r="Q3" i="2" s="1"/>
  <c r="L19" i="2"/>
  <c r="Q19" i="2" s="1"/>
  <c r="L14" i="2"/>
  <c r="Q14" i="2" s="1"/>
  <c r="L4" i="2"/>
  <c r="Q4" i="2" s="1"/>
  <c r="L20" i="2"/>
  <c r="Q20" i="2" s="1"/>
  <c r="L5" i="2"/>
  <c r="Q5" i="2" s="1"/>
  <c r="L30" i="2"/>
  <c r="Q30" i="2" s="1"/>
  <c r="L7" i="4"/>
  <c r="P7" i="4" s="1"/>
  <c r="L23" i="4"/>
  <c r="P23" i="4" s="1"/>
  <c r="L8" i="4"/>
  <c r="P8" i="4" s="1"/>
  <c r="L24" i="4"/>
  <c r="P24" i="4" s="1"/>
  <c r="L9" i="4"/>
  <c r="P9" i="4" s="1"/>
  <c r="L2" i="4"/>
  <c r="P2" i="4" s="1"/>
  <c r="L10" i="4"/>
  <c r="P10" i="4" s="1"/>
  <c r="L11" i="4"/>
  <c r="P11" i="4" s="1"/>
  <c r="L14" i="4"/>
  <c r="P14" i="4" s="1"/>
  <c r="L12" i="4"/>
  <c r="P12" i="4" s="1"/>
  <c r="L15" i="4"/>
  <c r="P15" i="4" s="1"/>
  <c r="L13" i="4"/>
  <c r="P13" i="4" s="1"/>
  <c r="L16" i="4"/>
  <c r="P16" i="4" s="1"/>
  <c r="L17" i="4"/>
  <c r="P17" i="4" s="1"/>
  <c r="L18" i="4"/>
  <c r="P18" i="4" s="1"/>
  <c r="L3" i="4"/>
  <c r="P3" i="4" s="1"/>
  <c r="L19" i="4"/>
  <c r="P19" i="4" s="1"/>
  <c r="L4" i="4"/>
  <c r="P4" i="4" s="1"/>
  <c r="L20" i="4"/>
  <c r="P20" i="4" s="1"/>
  <c r="L22" i="4"/>
  <c r="P22" i="4" s="1"/>
  <c r="L5" i="4"/>
  <c r="P5" i="4" s="1"/>
  <c r="L21" i="4"/>
  <c r="P21" i="4" s="1"/>
  <c r="L6" i="4"/>
  <c r="P6" i="4" s="1"/>
  <c r="A7" i="5"/>
  <c r="F6" i="5"/>
  <c r="G6" i="5" s="1"/>
  <c r="A7" i="4"/>
  <c r="F6" i="4"/>
  <c r="G6" i="4" s="1"/>
  <c r="L30" i="3"/>
  <c r="L28" i="3"/>
  <c r="L26" i="3"/>
  <c r="L24" i="3"/>
  <c r="L22" i="3"/>
  <c r="L20" i="3"/>
  <c r="L18" i="3"/>
  <c r="L16" i="3"/>
  <c r="L14" i="3"/>
  <c r="L12" i="3"/>
  <c r="L10" i="3"/>
  <c r="L8" i="3"/>
  <c r="L6" i="3"/>
  <c r="L4" i="3"/>
  <c r="L29" i="3"/>
  <c r="L27" i="3"/>
  <c r="L25" i="3"/>
  <c r="L23" i="3"/>
  <c r="L21" i="3"/>
  <c r="L19" i="3"/>
  <c r="L17" i="3"/>
  <c r="L15" i="3"/>
  <c r="L13" i="3"/>
  <c r="L11" i="3"/>
  <c r="L9" i="3"/>
  <c r="L7" i="3"/>
  <c r="L5" i="3"/>
  <c r="L3" i="3"/>
  <c r="F7" i="3"/>
  <c r="G7" i="3" s="1"/>
  <c r="A8" i="3"/>
  <c r="G8" i="2"/>
  <c r="A95" i="2" l="1"/>
  <c r="F94" i="2"/>
  <c r="P94" i="2" s="1"/>
  <c r="F7" i="5"/>
  <c r="G7" i="5" s="1"/>
  <c r="A8" i="5"/>
  <c r="F7" i="4"/>
  <c r="G7" i="4" s="1"/>
  <c r="A8" i="4"/>
  <c r="M16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2" i="3"/>
  <c r="A9" i="3"/>
  <c r="F8" i="3"/>
  <c r="G8" i="3" s="1"/>
  <c r="G9" i="2"/>
  <c r="A96" i="2" l="1"/>
  <c r="F95" i="2"/>
  <c r="P95" i="2" s="1"/>
  <c r="A9" i="5"/>
  <c r="F8" i="5"/>
  <c r="G8" i="5" s="1"/>
  <c r="A9" i="4"/>
  <c r="F8" i="4"/>
  <c r="G8" i="4" s="1"/>
  <c r="F9" i="3"/>
  <c r="G9" i="3" s="1"/>
  <c r="A10" i="3"/>
  <c r="G10" i="2"/>
  <c r="A97" i="2" l="1"/>
  <c r="F96" i="2"/>
  <c r="P96" i="2" s="1"/>
  <c r="A10" i="5"/>
  <c r="F9" i="5"/>
  <c r="G9" i="5" s="1"/>
  <c r="F9" i="4"/>
  <c r="G9" i="4" s="1"/>
  <c r="A10" i="4"/>
  <c r="A11" i="3"/>
  <c r="F10" i="3"/>
  <c r="G10" i="3" s="1"/>
  <c r="G11" i="2"/>
  <c r="A98" i="2" l="1"/>
  <c r="F97" i="2"/>
  <c r="P97" i="2" s="1"/>
  <c r="F10" i="5"/>
  <c r="G10" i="5" s="1"/>
  <c r="A11" i="5"/>
  <c r="A11" i="4"/>
  <c r="F10" i="4"/>
  <c r="G10" i="4" s="1"/>
  <c r="F11" i="3"/>
  <c r="G11" i="3" s="1"/>
  <c r="A12" i="3"/>
  <c r="G12" i="2"/>
  <c r="A99" i="2" l="1"/>
  <c r="F98" i="2"/>
  <c r="P98" i="2" s="1"/>
  <c r="A12" i="5"/>
  <c r="F11" i="5"/>
  <c r="G11" i="5" s="1"/>
  <c r="F11" i="4"/>
  <c r="G11" i="4" s="1"/>
  <c r="A12" i="4"/>
  <c r="A13" i="3"/>
  <c r="F12" i="3"/>
  <c r="G12" i="3" s="1"/>
  <c r="G13" i="2"/>
  <c r="A100" i="2" l="1"/>
  <c r="F99" i="2"/>
  <c r="P99" i="2" s="1"/>
  <c r="A13" i="5"/>
  <c r="F12" i="5"/>
  <c r="G12" i="5" s="1"/>
  <c r="A13" i="4"/>
  <c r="F12" i="4"/>
  <c r="G12" i="4" s="1"/>
  <c r="F13" i="3"/>
  <c r="G13" i="3" s="1"/>
  <c r="A14" i="3"/>
  <c r="G14" i="2"/>
  <c r="A101" i="2" l="1"/>
  <c r="F100" i="2"/>
  <c r="P100" i="2" s="1"/>
  <c r="A14" i="5"/>
  <c r="F13" i="5"/>
  <c r="G13" i="5" s="1"/>
  <c r="F13" i="4"/>
  <c r="G13" i="4" s="1"/>
  <c r="A14" i="4"/>
  <c r="A15" i="3"/>
  <c r="F14" i="3"/>
  <c r="G14" i="3" s="1"/>
  <c r="G15" i="2"/>
  <c r="A102" i="2" l="1"/>
  <c r="F101" i="2"/>
  <c r="P101" i="2" s="1"/>
  <c r="F14" i="5"/>
  <c r="G14" i="5" s="1"/>
  <c r="A15" i="5"/>
  <c r="A15" i="4"/>
  <c r="F14" i="4"/>
  <c r="G14" i="4" s="1"/>
  <c r="F15" i="3"/>
  <c r="G15" i="3" s="1"/>
  <c r="A16" i="3"/>
  <c r="G16" i="2"/>
  <c r="A103" i="2" l="1"/>
  <c r="F102" i="2"/>
  <c r="P102" i="2" s="1"/>
  <c r="A16" i="5"/>
  <c r="F15" i="5"/>
  <c r="G15" i="5" s="1"/>
  <c r="F15" i="4"/>
  <c r="G15" i="4" s="1"/>
  <c r="A16" i="4"/>
  <c r="A17" i="3"/>
  <c r="F16" i="3"/>
  <c r="G16" i="3" s="1"/>
  <c r="G17" i="2"/>
  <c r="A104" i="2" l="1"/>
  <c r="F103" i="2"/>
  <c r="P103" i="2" s="1"/>
  <c r="F16" i="5"/>
  <c r="G16" i="5" s="1"/>
  <c r="A17" i="5"/>
  <c r="A17" i="4"/>
  <c r="F16" i="4"/>
  <c r="G16" i="4" s="1"/>
  <c r="F17" i="3"/>
  <c r="G17" i="3" s="1"/>
  <c r="A18" i="3"/>
  <c r="G18" i="2"/>
  <c r="A105" i="2" l="1"/>
  <c r="F104" i="2"/>
  <c r="P104" i="2" s="1"/>
  <c r="F17" i="5"/>
  <c r="G17" i="5" s="1"/>
  <c r="A18" i="5"/>
  <c r="F17" i="4"/>
  <c r="G17" i="4" s="1"/>
  <c r="A18" i="4"/>
  <c r="A19" i="3"/>
  <c r="F18" i="3"/>
  <c r="G18" i="3" s="1"/>
  <c r="G19" i="2"/>
  <c r="A106" i="2" l="1"/>
  <c r="F105" i="2"/>
  <c r="P105" i="2" s="1"/>
  <c r="A19" i="5"/>
  <c r="F18" i="5"/>
  <c r="G18" i="5" s="1"/>
  <c r="A19" i="4"/>
  <c r="F18" i="4"/>
  <c r="G18" i="4" s="1"/>
  <c r="F19" i="3"/>
  <c r="G19" i="3" s="1"/>
  <c r="A20" i="3"/>
  <c r="G20" i="2"/>
  <c r="A107" i="2" l="1"/>
  <c r="F106" i="2"/>
  <c r="P106" i="2" s="1"/>
  <c r="F19" i="5"/>
  <c r="G19" i="5" s="1"/>
  <c r="A20" i="5"/>
  <c r="F19" i="4"/>
  <c r="G19" i="4" s="1"/>
  <c r="A20" i="4"/>
  <c r="A21" i="3"/>
  <c r="F20" i="3"/>
  <c r="G20" i="3" s="1"/>
  <c r="G21" i="2"/>
  <c r="A108" i="2" l="1"/>
  <c r="F107" i="2"/>
  <c r="P107" i="2" s="1"/>
  <c r="A21" i="5"/>
  <c r="F20" i="5"/>
  <c r="G20" i="5" s="1"/>
  <c r="A21" i="4"/>
  <c r="F20" i="4"/>
  <c r="G20" i="4" s="1"/>
  <c r="F21" i="3"/>
  <c r="G21" i="3" s="1"/>
  <c r="A22" i="3"/>
  <c r="G22" i="2"/>
  <c r="A109" i="2" l="1"/>
  <c r="F108" i="2"/>
  <c r="P108" i="2" s="1"/>
  <c r="F21" i="5"/>
  <c r="G21" i="5" s="1"/>
  <c r="A22" i="5"/>
  <c r="F21" i="4"/>
  <c r="G21" i="4" s="1"/>
  <c r="A22" i="4"/>
  <c r="A23" i="3"/>
  <c r="F22" i="3"/>
  <c r="G22" i="3" s="1"/>
  <c r="G23" i="2"/>
  <c r="A110" i="2" l="1"/>
  <c r="F109" i="2"/>
  <c r="P109" i="2" s="1"/>
  <c r="A23" i="5"/>
  <c r="F22" i="5"/>
  <c r="G22" i="5" s="1"/>
  <c r="A23" i="4"/>
  <c r="F22" i="4"/>
  <c r="G22" i="4" s="1"/>
  <c r="F23" i="3"/>
  <c r="G23" i="3" s="1"/>
  <c r="A24" i="3"/>
  <c r="G24" i="2"/>
  <c r="A111" i="2" l="1"/>
  <c r="F111" i="2" s="1"/>
  <c r="P111" i="2" s="1"/>
  <c r="F110" i="2"/>
  <c r="P110" i="2" s="1"/>
  <c r="F23" i="5"/>
  <c r="G23" i="5" s="1"/>
  <c r="A24" i="5"/>
  <c r="F23" i="4"/>
  <c r="G23" i="4" s="1"/>
  <c r="A24" i="4"/>
  <c r="A25" i="3"/>
  <c r="F24" i="3"/>
  <c r="G24" i="3" s="1"/>
  <c r="G25" i="2"/>
  <c r="A25" i="5" l="1"/>
  <c r="F24" i="5"/>
  <c r="G24" i="5" s="1"/>
  <c r="A25" i="4"/>
  <c r="F24" i="4"/>
  <c r="G24" i="4" s="1"/>
  <c r="F25" i="3"/>
  <c r="G25" i="3" s="1"/>
  <c r="A26" i="3"/>
  <c r="G26" i="2"/>
  <c r="A26" i="5" l="1"/>
  <c r="F25" i="5"/>
  <c r="G25" i="5" s="1"/>
  <c r="F25" i="4"/>
  <c r="G25" i="4" s="1"/>
  <c r="A26" i="4"/>
  <c r="A27" i="3"/>
  <c r="F26" i="3"/>
  <c r="G26" i="3" s="1"/>
  <c r="G27" i="2"/>
  <c r="A27" i="5" l="1"/>
  <c r="F26" i="5"/>
  <c r="G26" i="5" s="1"/>
  <c r="A27" i="4"/>
  <c r="F26" i="4"/>
  <c r="G26" i="4" s="1"/>
  <c r="F27" i="3"/>
  <c r="G27" i="3" s="1"/>
  <c r="A28" i="3"/>
  <c r="G28" i="2"/>
  <c r="A28" i="5" l="1"/>
  <c r="F27" i="5"/>
  <c r="G27" i="5" s="1"/>
  <c r="F27" i="4"/>
  <c r="G27" i="4" s="1"/>
  <c r="A28" i="4"/>
  <c r="A29" i="3"/>
  <c r="F28" i="3"/>
  <c r="G28" i="3" s="1"/>
  <c r="G29" i="2"/>
  <c r="A29" i="5" l="1"/>
  <c r="F28" i="5"/>
  <c r="G28" i="5" s="1"/>
  <c r="A29" i="4"/>
  <c r="F28" i="4"/>
  <c r="G28" i="4" s="1"/>
  <c r="F29" i="3"/>
  <c r="G29" i="3" s="1"/>
  <c r="A30" i="3"/>
  <c r="G30" i="2"/>
  <c r="A30" i="5" l="1"/>
  <c r="F29" i="5"/>
  <c r="G29" i="5" s="1"/>
  <c r="F29" i="4"/>
  <c r="G29" i="4" s="1"/>
  <c r="A30" i="4"/>
  <c r="A31" i="3"/>
  <c r="F30" i="3"/>
  <c r="G30" i="3" s="1"/>
  <c r="G31" i="2"/>
  <c r="A31" i="5" l="1"/>
  <c r="F30" i="5"/>
  <c r="G30" i="5" s="1"/>
  <c r="A31" i="4"/>
  <c r="F30" i="4"/>
  <c r="G30" i="4" s="1"/>
  <c r="F31" i="3"/>
  <c r="G31" i="3" s="1"/>
  <c r="A32" i="3"/>
  <c r="G32" i="2"/>
  <c r="A32" i="5" l="1"/>
  <c r="F31" i="5"/>
  <c r="G31" i="5" s="1"/>
  <c r="F31" i="4"/>
  <c r="G31" i="4" s="1"/>
  <c r="A32" i="4"/>
  <c r="A33" i="3"/>
  <c r="F32" i="3"/>
  <c r="G32" i="3" s="1"/>
  <c r="G33" i="2"/>
  <c r="A33" i="5" l="1"/>
  <c r="F32" i="5"/>
  <c r="G32" i="5" s="1"/>
  <c r="A33" i="4"/>
  <c r="F32" i="4"/>
  <c r="G32" i="4" s="1"/>
  <c r="F33" i="3"/>
  <c r="G33" i="3" s="1"/>
  <c r="A34" i="3"/>
  <c r="G34" i="2"/>
  <c r="A34" i="5" l="1"/>
  <c r="F33" i="5"/>
  <c r="G33" i="5" s="1"/>
  <c r="F33" i="4"/>
  <c r="G33" i="4" s="1"/>
  <c r="A34" i="4"/>
  <c r="A35" i="3"/>
  <c r="F34" i="3"/>
  <c r="G34" i="3" s="1"/>
  <c r="G35" i="2"/>
  <c r="A35" i="5" l="1"/>
  <c r="F34" i="5"/>
  <c r="G34" i="5" s="1"/>
  <c r="A35" i="4"/>
  <c r="F34" i="4"/>
  <c r="G34" i="4" s="1"/>
  <c r="F35" i="3"/>
  <c r="G35" i="3" s="1"/>
  <c r="A36" i="3"/>
  <c r="G36" i="2"/>
  <c r="A36" i="5" l="1"/>
  <c r="F35" i="5"/>
  <c r="G35" i="5" s="1"/>
  <c r="A36" i="4"/>
  <c r="F35" i="4"/>
  <c r="G35" i="4" s="1"/>
  <c r="A37" i="3"/>
  <c r="F36" i="3"/>
  <c r="G36" i="3" s="1"/>
  <c r="G37" i="2"/>
  <c r="A37" i="5" l="1"/>
  <c r="F36" i="5"/>
  <c r="G36" i="5" s="1"/>
  <c r="A37" i="4"/>
  <c r="F36" i="4"/>
  <c r="G36" i="4" s="1"/>
  <c r="A38" i="3"/>
  <c r="F37" i="3"/>
  <c r="G37" i="3" s="1"/>
  <c r="G38" i="2"/>
  <c r="A38" i="5" l="1"/>
  <c r="F37" i="5"/>
  <c r="G37" i="5" s="1"/>
  <c r="A38" i="4"/>
  <c r="F37" i="4"/>
  <c r="G37" i="4" s="1"/>
  <c r="F38" i="3"/>
  <c r="G38" i="3" s="1"/>
  <c r="A39" i="3"/>
  <c r="G39" i="2"/>
  <c r="A39" i="5" l="1"/>
  <c r="F38" i="5"/>
  <c r="G38" i="5" s="1"/>
  <c r="F38" i="4"/>
  <c r="G38" i="4" s="1"/>
  <c r="A39" i="4"/>
  <c r="A40" i="3"/>
  <c r="F39" i="3"/>
  <c r="G39" i="3" s="1"/>
  <c r="G40" i="2"/>
  <c r="A40" i="5" l="1"/>
  <c r="F39" i="5"/>
  <c r="G39" i="5" s="1"/>
  <c r="A40" i="4"/>
  <c r="F39" i="4"/>
  <c r="G39" i="4" s="1"/>
  <c r="F40" i="3"/>
  <c r="G40" i="3" s="1"/>
  <c r="A41" i="3"/>
  <c r="G41" i="2"/>
  <c r="A41" i="5" l="1"/>
  <c r="F40" i="5"/>
  <c r="G40" i="5" s="1"/>
  <c r="F40" i="4"/>
  <c r="G40" i="4" s="1"/>
  <c r="A41" i="4"/>
  <c r="A42" i="3"/>
  <c r="F41" i="3"/>
  <c r="G41" i="3" s="1"/>
  <c r="G42" i="2"/>
  <c r="A42" i="5" l="1"/>
  <c r="F41" i="5"/>
  <c r="G41" i="5" s="1"/>
  <c r="A42" i="4"/>
  <c r="F41" i="4"/>
  <c r="G41" i="4" s="1"/>
  <c r="F42" i="3"/>
  <c r="G42" i="3" s="1"/>
  <c r="A43" i="3"/>
  <c r="G43" i="2"/>
  <c r="A43" i="5" l="1"/>
  <c r="F42" i="5"/>
  <c r="G42" i="5" s="1"/>
  <c r="F42" i="4"/>
  <c r="G42" i="4" s="1"/>
  <c r="A43" i="4"/>
  <c r="A44" i="3"/>
  <c r="F43" i="3"/>
  <c r="G43" i="3" s="1"/>
  <c r="G44" i="2"/>
  <c r="A44" i="5" l="1"/>
  <c r="F43" i="5"/>
  <c r="G43" i="5" s="1"/>
  <c r="A44" i="4"/>
  <c r="F43" i="4"/>
  <c r="G43" i="4" s="1"/>
  <c r="A45" i="3"/>
  <c r="F44" i="3"/>
  <c r="G44" i="3" s="1"/>
  <c r="G45" i="2"/>
  <c r="A45" i="5" l="1"/>
  <c r="F44" i="5"/>
  <c r="G44" i="5" s="1"/>
  <c r="A45" i="4"/>
  <c r="F44" i="4"/>
  <c r="G44" i="4" s="1"/>
  <c r="A46" i="3"/>
  <c r="F45" i="3"/>
  <c r="G45" i="3" s="1"/>
  <c r="G46" i="2"/>
  <c r="F45" i="5" l="1"/>
  <c r="G45" i="5" s="1"/>
  <c r="A46" i="5"/>
  <c r="A46" i="4"/>
  <c r="F45" i="4"/>
  <c r="G45" i="4" s="1"/>
  <c r="A47" i="3"/>
  <c r="F46" i="3"/>
  <c r="G46" i="3" s="1"/>
  <c r="G47" i="2"/>
  <c r="A47" i="5" l="1"/>
  <c r="F46" i="5"/>
  <c r="G46" i="5" s="1"/>
  <c r="A47" i="4"/>
  <c r="F46" i="4"/>
  <c r="G46" i="4" s="1"/>
  <c r="F47" i="3"/>
  <c r="G47" i="3" s="1"/>
  <c r="A48" i="3"/>
  <c r="G48" i="2"/>
  <c r="F47" i="5" l="1"/>
  <c r="G47" i="5" s="1"/>
  <c r="A48" i="5"/>
  <c r="F47" i="4"/>
  <c r="G47" i="4" s="1"/>
  <c r="A48" i="4"/>
  <c r="A49" i="3"/>
  <c r="F48" i="3"/>
  <c r="G48" i="3" s="1"/>
  <c r="G49" i="2"/>
  <c r="A49" i="5" l="1"/>
  <c r="F48" i="5"/>
  <c r="G48" i="5" s="1"/>
  <c r="A49" i="4"/>
  <c r="F48" i="4"/>
  <c r="G48" i="4" s="1"/>
  <c r="F49" i="3"/>
  <c r="G49" i="3" s="1"/>
  <c r="A50" i="3"/>
  <c r="G50" i="2"/>
  <c r="F49" i="5" l="1"/>
  <c r="G49" i="5" s="1"/>
  <c r="A50" i="5"/>
  <c r="F49" i="4"/>
  <c r="G49" i="4" s="1"/>
  <c r="A50" i="4"/>
  <c r="A51" i="3"/>
  <c r="F50" i="3"/>
  <c r="G50" i="3" s="1"/>
  <c r="G51" i="2"/>
  <c r="A51" i="5" l="1"/>
  <c r="F50" i="5"/>
  <c r="G50" i="5" s="1"/>
  <c r="A51" i="4"/>
  <c r="F50" i="4"/>
  <c r="G50" i="4" s="1"/>
  <c r="A52" i="3"/>
  <c r="F51" i="3"/>
  <c r="G51" i="3" s="1"/>
  <c r="G52" i="2"/>
  <c r="A52" i="5" l="1"/>
  <c r="F51" i="5"/>
  <c r="G51" i="5" s="1"/>
  <c r="A52" i="4"/>
  <c r="F51" i="4"/>
  <c r="G51" i="4" s="1"/>
  <c r="F52" i="3"/>
  <c r="G52" i="3" s="1"/>
  <c r="A53" i="3"/>
  <c r="G53" i="2"/>
  <c r="A53" i="5" l="1"/>
  <c r="F52" i="5"/>
  <c r="G52" i="5" s="1"/>
  <c r="F52" i="4"/>
  <c r="G52" i="4" s="1"/>
  <c r="A53" i="4"/>
  <c r="A54" i="3"/>
  <c r="F53" i="3"/>
  <c r="G53" i="3" s="1"/>
  <c r="G54" i="2"/>
  <c r="A54" i="5" l="1"/>
  <c r="F53" i="5"/>
  <c r="G53" i="5" s="1"/>
  <c r="A54" i="4"/>
  <c r="F53" i="4"/>
  <c r="G53" i="4" s="1"/>
  <c r="F54" i="3"/>
  <c r="G54" i="3" s="1"/>
  <c r="A55" i="3"/>
  <c r="G55" i="2"/>
  <c r="F54" i="5" l="1"/>
  <c r="G54" i="5" s="1"/>
  <c r="A55" i="5"/>
  <c r="F54" i="4"/>
  <c r="G54" i="4" s="1"/>
  <c r="A55" i="4"/>
  <c r="A56" i="3"/>
  <c r="F55" i="3"/>
  <c r="G55" i="3" s="1"/>
  <c r="G56" i="2"/>
  <c r="F55" i="5" l="1"/>
  <c r="G55" i="5" s="1"/>
  <c r="A56" i="5"/>
  <c r="A56" i="4"/>
  <c r="F55" i="4"/>
  <c r="G55" i="4" s="1"/>
  <c r="A57" i="3"/>
  <c r="F56" i="3"/>
  <c r="G56" i="3" s="1"/>
  <c r="G57" i="2"/>
  <c r="F56" i="5" l="1"/>
  <c r="G56" i="5" s="1"/>
  <c r="A57" i="5"/>
  <c r="A57" i="4"/>
  <c r="F56" i="4"/>
  <c r="G56" i="4" s="1"/>
  <c r="F57" i="3"/>
  <c r="G57" i="3" s="1"/>
  <c r="A58" i="3"/>
  <c r="G58" i="2"/>
  <c r="A58" i="5" l="1"/>
  <c r="F57" i="5"/>
  <c r="G57" i="5" s="1"/>
  <c r="F57" i="4"/>
  <c r="G57" i="4" s="1"/>
  <c r="A58" i="4"/>
  <c r="A59" i="3"/>
  <c r="F58" i="3"/>
  <c r="G58" i="3" s="1"/>
  <c r="G59" i="2"/>
  <c r="F58" i="5" l="1"/>
  <c r="G58" i="5" s="1"/>
  <c r="A59" i="5"/>
  <c r="A59" i="4"/>
  <c r="F58" i="4"/>
  <c r="G58" i="4" s="1"/>
  <c r="A60" i="3"/>
  <c r="F59" i="3"/>
  <c r="G59" i="3" s="1"/>
  <c r="G60" i="2"/>
  <c r="A60" i="5" l="1"/>
  <c r="F59" i="5"/>
  <c r="G59" i="5" s="1"/>
  <c r="A60" i="4"/>
  <c r="F59" i="4"/>
  <c r="G59" i="4" s="1"/>
  <c r="F60" i="3"/>
  <c r="G60" i="3" s="1"/>
  <c r="A61" i="3"/>
  <c r="G61" i="2"/>
  <c r="A61" i="5" l="1"/>
  <c r="F60" i="5"/>
  <c r="G60" i="5" s="1"/>
  <c r="F60" i="4"/>
  <c r="G60" i="4" s="1"/>
  <c r="A61" i="4"/>
  <c r="A62" i="3"/>
  <c r="F61" i="3"/>
  <c r="G61" i="3" s="1"/>
  <c r="G62" i="2"/>
  <c r="F61" i="5" l="1"/>
  <c r="G61" i="5" s="1"/>
  <c r="A62" i="5"/>
  <c r="A62" i="4"/>
  <c r="F61" i="4"/>
  <c r="G61" i="4" s="1"/>
  <c r="F62" i="3"/>
  <c r="G62" i="3" s="1"/>
  <c r="A63" i="3"/>
  <c r="G63" i="2"/>
  <c r="A63" i="5" l="1"/>
  <c r="F62" i="5"/>
  <c r="G62" i="5" s="1"/>
  <c r="F62" i="4"/>
  <c r="G62" i="4" s="1"/>
  <c r="A63" i="4"/>
  <c r="A64" i="3"/>
  <c r="F63" i="3"/>
  <c r="G63" i="3" s="1"/>
  <c r="G64" i="2"/>
  <c r="F63" i="5" l="1"/>
  <c r="G63" i="5" s="1"/>
  <c r="A64" i="5"/>
  <c r="A64" i="4"/>
  <c r="F63" i="4"/>
  <c r="G63" i="4" s="1"/>
  <c r="A65" i="3"/>
  <c r="F64" i="3"/>
  <c r="G64" i="3" s="1"/>
  <c r="G65" i="2"/>
  <c r="A65" i="5" l="1"/>
  <c r="F64" i="5"/>
  <c r="G64" i="5" s="1"/>
  <c r="A65" i="4"/>
  <c r="F64" i="4"/>
  <c r="G64" i="4" s="1"/>
  <c r="F65" i="3"/>
  <c r="G65" i="3" s="1"/>
  <c r="A66" i="3"/>
  <c r="G66" i="2"/>
  <c r="F65" i="5" l="1"/>
  <c r="G65" i="5" s="1"/>
  <c r="A66" i="5"/>
  <c r="F65" i="4"/>
  <c r="G65" i="4" s="1"/>
  <c r="A66" i="4"/>
  <c r="A67" i="3"/>
  <c r="F66" i="3"/>
  <c r="G66" i="3" s="1"/>
  <c r="G67" i="2"/>
  <c r="A67" i="5" l="1"/>
  <c r="F66" i="5"/>
  <c r="G66" i="5" s="1"/>
  <c r="A67" i="4"/>
  <c r="F66" i="4"/>
  <c r="G66" i="4" s="1"/>
  <c r="A68" i="3"/>
  <c r="F67" i="3"/>
  <c r="G67" i="3" s="1"/>
  <c r="G68" i="2"/>
  <c r="A68" i="5" l="1"/>
  <c r="F67" i="5"/>
  <c r="G67" i="5" s="1"/>
  <c r="A68" i="4"/>
  <c r="F67" i="4"/>
  <c r="G67" i="4" s="1"/>
  <c r="F68" i="3"/>
  <c r="G68" i="3" s="1"/>
  <c r="A69" i="3"/>
  <c r="G69" i="2"/>
  <c r="A69" i="5" l="1"/>
  <c r="F68" i="5"/>
  <c r="G68" i="5" s="1"/>
  <c r="F68" i="4"/>
  <c r="G68" i="4" s="1"/>
  <c r="A69" i="4"/>
  <c r="A70" i="3"/>
  <c r="F69" i="3"/>
  <c r="G69" i="3" s="1"/>
  <c r="G70" i="2"/>
  <c r="A70" i="5" l="1"/>
  <c r="F69" i="5"/>
  <c r="G69" i="5" s="1"/>
  <c r="A70" i="4"/>
  <c r="F69" i="4"/>
  <c r="G69" i="4" s="1"/>
  <c r="F70" i="3"/>
  <c r="G70" i="3" s="1"/>
  <c r="A71" i="3"/>
  <c r="G71" i="2"/>
  <c r="F70" i="5" l="1"/>
  <c r="G70" i="5" s="1"/>
  <c r="A71" i="5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F70" i="4"/>
  <c r="G70" i="4" s="1"/>
  <c r="A71" i="4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72" i="3"/>
  <c r="F71" i="3"/>
  <c r="G71" i="3" s="1"/>
  <c r="G72" i="2"/>
  <c r="F71" i="5" l="1"/>
  <c r="G71" i="5" s="1"/>
  <c r="F71" i="4"/>
  <c r="G71" i="4" s="1"/>
  <c r="A73" i="3"/>
  <c r="F72" i="3"/>
  <c r="G72" i="3" s="1"/>
  <c r="G73" i="2"/>
  <c r="F72" i="5" l="1"/>
  <c r="G72" i="5" s="1"/>
  <c r="F72" i="4"/>
  <c r="G72" i="4" s="1"/>
  <c r="F73" i="3"/>
  <c r="G73" i="3" s="1"/>
  <c r="A74" i="3"/>
  <c r="G74" i="2"/>
  <c r="F73" i="5" l="1"/>
  <c r="G73" i="5" s="1"/>
  <c r="F73" i="4"/>
  <c r="G73" i="4" s="1"/>
  <c r="A75" i="3"/>
  <c r="F74" i="3"/>
  <c r="G74" i="3" s="1"/>
  <c r="G75" i="2"/>
  <c r="F74" i="5" l="1"/>
  <c r="G74" i="5" s="1"/>
  <c r="F74" i="4"/>
  <c r="G74" i="4" s="1"/>
  <c r="A76" i="3"/>
  <c r="F75" i="3"/>
  <c r="G75" i="3" s="1"/>
  <c r="G76" i="2"/>
  <c r="F75" i="5" l="1"/>
  <c r="G75" i="5" s="1"/>
  <c r="F75" i="4"/>
  <c r="G75" i="4" s="1"/>
  <c r="F76" i="3"/>
  <c r="G76" i="3" s="1"/>
  <c r="A77" i="3"/>
  <c r="G77" i="2"/>
  <c r="F76" i="5" l="1"/>
  <c r="G76" i="5" s="1"/>
  <c r="F76" i="4"/>
  <c r="G76" i="4" s="1"/>
  <c r="A78" i="3"/>
  <c r="F77" i="3"/>
  <c r="G77" i="3" s="1"/>
  <c r="G78" i="2"/>
  <c r="F77" i="5" l="1"/>
  <c r="G77" i="5" s="1"/>
  <c r="F77" i="4"/>
  <c r="G77" i="4" s="1"/>
  <c r="F78" i="3"/>
  <c r="G78" i="3" s="1"/>
  <c r="A79" i="3"/>
  <c r="G79" i="2"/>
  <c r="F78" i="5" l="1"/>
  <c r="G78" i="5" s="1"/>
  <c r="F78" i="4"/>
  <c r="G78" i="4" s="1"/>
  <c r="A80" i="3"/>
  <c r="F79" i="3"/>
  <c r="G79" i="3" s="1"/>
  <c r="G80" i="2"/>
  <c r="F79" i="5" l="1"/>
  <c r="G79" i="5" s="1"/>
  <c r="F79" i="4"/>
  <c r="G79" i="4" s="1"/>
  <c r="A81" i="3"/>
  <c r="F80" i="3"/>
  <c r="G80" i="3" s="1"/>
  <c r="G81" i="2"/>
  <c r="F80" i="5" l="1"/>
  <c r="G80" i="5" s="1"/>
  <c r="F80" i="4"/>
  <c r="G80" i="4" s="1"/>
  <c r="F81" i="3"/>
  <c r="G81" i="3" s="1"/>
  <c r="A82" i="3"/>
  <c r="G82" i="2"/>
  <c r="F81" i="5" l="1"/>
  <c r="G81" i="5" s="1"/>
  <c r="F81" i="4"/>
  <c r="G81" i="4" s="1"/>
  <c r="A83" i="3"/>
  <c r="F82" i="3"/>
  <c r="G82" i="3" s="1"/>
  <c r="G83" i="2"/>
  <c r="F82" i="5" l="1"/>
  <c r="G82" i="5" s="1"/>
  <c r="F82" i="4"/>
  <c r="G82" i="4" s="1"/>
  <c r="A84" i="3"/>
  <c r="F83" i="3"/>
  <c r="G83" i="3" s="1"/>
  <c r="G84" i="2"/>
  <c r="F83" i="5" l="1"/>
  <c r="G83" i="5" s="1"/>
  <c r="F83" i="4"/>
  <c r="G83" i="4" s="1"/>
  <c r="F84" i="3"/>
  <c r="G84" i="3" s="1"/>
  <c r="A85" i="3"/>
  <c r="G85" i="2"/>
  <c r="F84" i="5" l="1"/>
  <c r="G84" i="5" s="1"/>
  <c r="F84" i="4"/>
  <c r="G84" i="4" s="1"/>
  <c r="A86" i="3"/>
  <c r="F85" i="3"/>
  <c r="G85" i="3" s="1"/>
  <c r="G86" i="2"/>
  <c r="F85" i="5" l="1"/>
  <c r="G85" i="5" s="1"/>
  <c r="F85" i="4"/>
  <c r="G85" i="4" s="1"/>
  <c r="F86" i="3"/>
  <c r="G86" i="3" s="1"/>
  <c r="A87" i="3"/>
  <c r="G87" i="2"/>
  <c r="F86" i="5" l="1"/>
  <c r="G86" i="5" s="1"/>
  <c r="F86" i="4"/>
  <c r="G86" i="4" s="1"/>
  <c r="A88" i="3"/>
  <c r="F87" i="3"/>
  <c r="G87" i="3" s="1"/>
  <c r="G88" i="2"/>
  <c r="F87" i="5" l="1"/>
  <c r="G87" i="5" s="1"/>
  <c r="F87" i="4"/>
  <c r="G87" i="4" s="1"/>
  <c r="A89" i="3"/>
  <c r="F88" i="3"/>
  <c r="G88" i="3" s="1"/>
  <c r="G89" i="2"/>
  <c r="F88" i="5" l="1"/>
  <c r="G88" i="5" s="1"/>
  <c r="F88" i="4"/>
  <c r="G88" i="4" s="1"/>
  <c r="F89" i="3"/>
  <c r="G89" i="3" s="1"/>
  <c r="A90" i="3"/>
  <c r="G90" i="2"/>
  <c r="F89" i="5" l="1"/>
  <c r="G89" i="5" s="1"/>
  <c r="F89" i="4"/>
  <c r="G89" i="4" s="1"/>
  <c r="A91" i="3"/>
  <c r="F90" i="3"/>
  <c r="G90" i="3" s="1"/>
  <c r="G91" i="2"/>
  <c r="F90" i="5" l="1"/>
  <c r="G90" i="5" s="1"/>
  <c r="F90" i="4"/>
  <c r="G90" i="4" s="1"/>
  <c r="A92" i="3"/>
  <c r="F91" i="3"/>
  <c r="G91" i="3" s="1"/>
  <c r="G92" i="2"/>
  <c r="A92" i="5" l="1"/>
  <c r="F91" i="5"/>
  <c r="G91" i="5" s="1"/>
  <c r="F91" i="4"/>
  <c r="G91" i="4" s="1"/>
  <c r="F92" i="3"/>
  <c r="G92" i="3" s="1"/>
  <c r="A93" i="3"/>
  <c r="G93" i="2"/>
  <c r="A93" i="5" l="1"/>
  <c r="F92" i="5"/>
  <c r="G92" i="5" s="1"/>
  <c r="F92" i="4"/>
  <c r="G92" i="4" s="1"/>
  <c r="A94" i="3"/>
  <c r="F93" i="3"/>
  <c r="G93" i="3" s="1"/>
  <c r="G94" i="2"/>
  <c r="F93" i="5" l="1"/>
  <c r="G93" i="5" s="1"/>
  <c r="A94" i="5"/>
  <c r="F93" i="4"/>
  <c r="G93" i="4" s="1"/>
  <c r="F94" i="3"/>
  <c r="G94" i="3" s="1"/>
  <c r="A95" i="3"/>
  <c r="G95" i="2"/>
  <c r="A95" i="5" l="1"/>
  <c r="F94" i="5"/>
  <c r="G94" i="5" s="1"/>
  <c r="F94" i="4"/>
  <c r="G94" i="4" s="1"/>
  <c r="A96" i="3"/>
  <c r="F95" i="3"/>
  <c r="G95" i="3" s="1"/>
  <c r="G96" i="2"/>
  <c r="F95" i="5" l="1"/>
  <c r="G95" i="5" s="1"/>
  <c r="A96" i="5"/>
  <c r="F95" i="4"/>
  <c r="G95" i="4" s="1"/>
  <c r="A97" i="3"/>
  <c r="F96" i="3"/>
  <c r="G96" i="3" s="1"/>
  <c r="G97" i="2"/>
  <c r="A97" i="5" l="1"/>
  <c r="F96" i="5"/>
  <c r="G96" i="5" s="1"/>
  <c r="F96" i="4"/>
  <c r="G96" i="4" s="1"/>
  <c r="F97" i="3"/>
  <c r="G97" i="3" s="1"/>
  <c r="A98" i="3"/>
  <c r="G98" i="2"/>
  <c r="F97" i="5" l="1"/>
  <c r="G97" i="5" s="1"/>
  <c r="A98" i="5"/>
  <c r="F97" i="4"/>
  <c r="G97" i="4" s="1"/>
  <c r="A99" i="3"/>
  <c r="F98" i="3"/>
  <c r="G98" i="3" s="1"/>
  <c r="G99" i="2"/>
  <c r="A99" i="5" l="1"/>
  <c r="F98" i="5"/>
  <c r="G98" i="5" s="1"/>
  <c r="F98" i="4"/>
  <c r="G98" i="4" s="1"/>
  <c r="A100" i="3"/>
  <c r="F99" i="3"/>
  <c r="G99" i="3" s="1"/>
  <c r="G100" i="2"/>
  <c r="A100" i="5" l="1"/>
  <c r="F99" i="5"/>
  <c r="G99" i="5" s="1"/>
  <c r="F99" i="4"/>
  <c r="G99" i="4" s="1"/>
  <c r="F100" i="3"/>
  <c r="G100" i="3" s="1"/>
  <c r="A101" i="3"/>
  <c r="G101" i="2"/>
  <c r="A101" i="5" l="1"/>
  <c r="F100" i="5"/>
  <c r="G100" i="5" s="1"/>
  <c r="F100" i="4"/>
  <c r="G100" i="4" s="1"/>
  <c r="A102" i="3"/>
  <c r="F101" i="3"/>
  <c r="G101" i="3" s="1"/>
  <c r="G102" i="2"/>
  <c r="A102" i="5" l="1"/>
  <c r="F101" i="5"/>
  <c r="G101" i="5" s="1"/>
  <c r="F101" i="4"/>
  <c r="G101" i="4" s="1"/>
  <c r="F102" i="3"/>
  <c r="G102" i="3" s="1"/>
  <c r="A103" i="3"/>
  <c r="G103" i="2"/>
  <c r="F102" i="5" l="1"/>
  <c r="G102" i="5" s="1"/>
  <c r="A103" i="5"/>
  <c r="F102" i="4"/>
  <c r="G102" i="4" s="1"/>
  <c r="A104" i="3"/>
  <c r="F103" i="3"/>
  <c r="G103" i="3" s="1"/>
  <c r="G104" i="2"/>
  <c r="A104" i="5" l="1"/>
  <c r="F103" i="5"/>
  <c r="G103" i="5" s="1"/>
  <c r="F103" i="4"/>
  <c r="G103" i="4" s="1"/>
  <c r="A105" i="3"/>
  <c r="F104" i="3"/>
  <c r="G104" i="3" s="1"/>
  <c r="G105" i="2"/>
  <c r="F104" i="5" l="1"/>
  <c r="G104" i="5" s="1"/>
  <c r="A105" i="5"/>
  <c r="F104" i="4"/>
  <c r="G104" i="4" s="1"/>
  <c r="F105" i="3"/>
  <c r="G105" i="3" s="1"/>
  <c r="A106" i="3"/>
  <c r="G106" i="2"/>
  <c r="A106" i="5" l="1"/>
  <c r="F105" i="5"/>
  <c r="G105" i="5" s="1"/>
  <c r="F105" i="4"/>
  <c r="G105" i="4" s="1"/>
  <c r="A107" i="3"/>
  <c r="F106" i="3"/>
  <c r="G106" i="3" s="1"/>
  <c r="G107" i="2"/>
  <c r="F106" i="5" l="1"/>
  <c r="G106" i="5" s="1"/>
  <c r="A107" i="5"/>
  <c r="F106" i="4"/>
  <c r="G106" i="4" s="1"/>
  <c r="A108" i="3"/>
  <c r="F107" i="3"/>
  <c r="G107" i="3" s="1"/>
  <c r="G108" i="2"/>
  <c r="A108" i="5" l="1"/>
  <c r="F107" i="5"/>
  <c r="G107" i="5" s="1"/>
  <c r="F108" i="3"/>
  <c r="G108" i="3" s="1"/>
  <c r="A109" i="3"/>
  <c r="G109" i="2"/>
  <c r="A109" i="5" l="1"/>
  <c r="F108" i="5"/>
  <c r="G108" i="5" s="1"/>
  <c r="A110" i="3"/>
  <c r="F109" i="3"/>
  <c r="G109" i="3" s="1"/>
  <c r="G111" i="2"/>
  <c r="G110" i="2"/>
  <c r="A110" i="5" l="1"/>
  <c r="F109" i="5"/>
  <c r="G109" i="5" s="1"/>
  <c r="F110" i="3"/>
  <c r="G110" i="3" s="1"/>
  <c r="A111" i="3"/>
  <c r="F111" i="3" s="1"/>
  <c r="G111" i="3" s="1"/>
  <c r="F110" i="5" l="1"/>
  <c r="G110" i="5" s="1"/>
  <c r="A111" i="5"/>
  <c r="F111" i="5" s="1"/>
  <c r="G111" i="5" s="1"/>
  <c r="M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<sst xmlns="http://schemas.openxmlformats.org/spreadsheetml/2006/main" count="112" uniqueCount="32">
  <si>
    <t>V</t>
  </si>
  <si>
    <t>I</t>
  </si>
  <si>
    <t>Im</t>
  </si>
  <si>
    <t>I_normed</t>
  </si>
  <si>
    <t>Vp-p</t>
  </si>
  <si>
    <t>Vrms</t>
  </si>
  <si>
    <t>I_raw data</t>
  </si>
  <si>
    <r>
      <rPr>
        <i/>
        <sz val="8"/>
        <color theme="1"/>
        <rFont val="Symbol"/>
        <family val="1"/>
        <charset val="2"/>
      </rPr>
      <t>f</t>
    </r>
    <r>
      <rPr>
        <sz val="8"/>
        <color theme="1"/>
        <rFont val="Calibri"/>
        <family val="2"/>
        <scheme val="minor"/>
      </rPr>
      <t xml:space="preserve"> (rad)</t>
    </r>
  </si>
  <si>
    <r>
      <rPr>
        <i/>
        <sz val="8"/>
        <color theme="1"/>
        <rFont val="Symbol"/>
        <family val="1"/>
        <charset val="2"/>
      </rPr>
      <t xml:space="preserve">d </t>
    </r>
    <r>
      <rPr>
        <sz val="8"/>
        <color theme="1"/>
        <rFont val="Calibri"/>
        <family val="2"/>
        <scheme val="minor"/>
      </rPr>
      <t>with phase corr</t>
    </r>
  </si>
  <si>
    <r>
      <rPr>
        <i/>
        <sz val="8"/>
        <color theme="1"/>
        <rFont val="Symbol"/>
        <family val="1"/>
        <charset val="2"/>
      </rPr>
      <t xml:space="preserve">d </t>
    </r>
    <r>
      <rPr>
        <sz val="8"/>
        <color theme="1"/>
        <rFont val="Calibri"/>
        <family val="2"/>
        <scheme val="minor"/>
      </rPr>
      <t>(waves)</t>
    </r>
  </si>
  <si>
    <t>almost a full wave!</t>
  </si>
  <si>
    <t>use the phase correction to here</t>
  </si>
  <si>
    <t>copy and paste from here down</t>
  </si>
  <si>
    <t>should be linear polarized and rotated by 90 degrees</t>
  </si>
  <si>
    <t>1/4 wave - should be circle polarization</t>
  </si>
  <si>
    <r>
      <rPr>
        <i/>
        <sz val="8"/>
        <color theme="1"/>
        <rFont val="Symbol"/>
        <family val="1"/>
        <charset val="2"/>
      </rPr>
      <t xml:space="preserve">d </t>
    </r>
    <r>
      <rPr>
        <sz val="8"/>
        <color theme="1"/>
        <rFont val="Calibri"/>
        <family val="2"/>
        <scheme val="minor"/>
      </rPr>
      <t>with 2nd phase corr</t>
    </r>
  </si>
  <si>
    <t>11.57  30min</t>
  </si>
  <si>
    <t>2nd phase corr</t>
  </si>
  <si>
    <t>3rd phase corr</t>
  </si>
  <si>
    <t>Voltage (RMS)</t>
  </si>
  <si>
    <r>
      <t xml:space="preserve">Retardance, </t>
    </r>
    <r>
      <rPr>
        <i/>
        <sz val="8"/>
        <color rgb="FF7030A0"/>
        <rFont val="Symbol"/>
        <family val="1"/>
        <charset val="2"/>
      </rPr>
      <t>d</t>
    </r>
    <r>
      <rPr>
        <sz val="8"/>
        <color rgb="FF7030A0"/>
        <rFont val="Calibri"/>
        <family val="2"/>
        <scheme val="minor"/>
      </rPr>
      <t xml:space="preserve"> (waves)</t>
    </r>
  </si>
  <si>
    <r>
      <t xml:space="preserve">Retardance, </t>
    </r>
    <r>
      <rPr>
        <i/>
        <sz val="8"/>
        <color theme="1"/>
        <rFont val="Symbol"/>
        <family val="1"/>
        <charset val="2"/>
      </rPr>
      <t>d</t>
    </r>
    <r>
      <rPr>
        <sz val="8"/>
        <color theme="1"/>
        <rFont val="Calibri"/>
        <family val="2"/>
        <scheme val="minor"/>
      </rPr>
      <t xml:space="preserve"> (waves)</t>
    </r>
  </si>
  <si>
    <t>I (V)</t>
  </si>
  <si>
    <t>Im (mV)</t>
  </si>
  <si>
    <t>retardance (waves)</t>
  </si>
  <si>
    <t>I_raw_data</t>
  </si>
  <si>
    <t>f (rad)</t>
  </si>
  <si>
    <t>d with phase corr</t>
  </si>
  <si>
    <t>Intensity</t>
  </si>
  <si>
    <t>retardance</t>
  </si>
  <si>
    <t>chopper f , (Hz)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</si>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</sst>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"/>
  </numFmts>
  <fonts count="8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Symbol"/>
      <family val="1"/>
      <charset val="2"/>
    </font>
    <font>
      <sz val="8"/>
      <color theme="1"/>
      <name val="Calibri"/>
      <family val="1"/>
      <charset val="2"/>
      <scheme val="minor"/>
    </font>
    <font>
      <sz val="8"/>
      <color theme="9" tint="-0.499984740745262"/>
      <name val="Calibri"/>
      <family val="2"/>
      <scheme val="minor"/>
    </font>
    <font>
      <sz val="8"/>
      <color rgb="FF7030A0"/>
      <name val="Calibri"/>
      <family val="2"/>
      <scheme val="minor"/>
    </font>
    <font>
      <i/>
      <sz val="8"/>
      <color rgb="FF7030A0"/>
      <name val="Symbol"/>
      <family val="1"/>
      <charset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1" fillId="7" borderId="0" xfId="0" applyFont="1" applyFill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8E68B"/>
      <color rgb="FF3AE6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3648293963253"/>
          <c:y val="5.0925925925925923E-2"/>
          <c:w val="0.81841819772528424"/>
          <c:h val="0.80463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'LCVR 532nm'!$H$1</c:f>
              <c:strCache>
                <c:ptCount val="1"/>
                <c:pt idx="0">
                  <c:v>I_raw 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'LCVR 532nm'!$G$2:$G$111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532nm'!$H$2:$H$111</c:f>
              <c:numCache>
                <c:formatCode>General</c:formatCode>
                <c:ptCount val="110"/>
                <c:pt idx="0">
                  <c:v>3.0999999999999999E-3</c:v>
                </c:pt>
                <c:pt idx="1">
                  <c:v>3.0999999999999999E-3</c:v>
                </c:pt>
                <c:pt idx="2">
                  <c:v>3.0999999999999999E-3</c:v>
                </c:pt>
                <c:pt idx="3">
                  <c:v>3.0999999999999999E-3</c:v>
                </c:pt>
                <c:pt idx="4">
                  <c:v>3.2000000000000002E-3</c:v>
                </c:pt>
                <c:pt idx="5">
                  <c:v>3.2000000000000002E-3</c:v>
                </c:pt>
                <c:pt idx="6">
                  <c:v>3.3E-3</c:v>
                </c:pt>
                <c:pt idx="7">
                  <c:v>3.3E-3</c:v>
                </c:pt>
                <c:pt idx="8">
                  <c:v>3.3999999999999998E-3</c:v>
                </c:pt>
                <c:pt idx="9">
                  <c:v>3.5000000000000001E-3</c:v>
                </c:pt>
                <c:pt idx="10">
                  <c:v>3.7000000000000002E-3</c:v>
                </c:pt>
                <c:pt idx="11">
                  <c:v>4.1000000000000003E-3</c:v>
                </c:pt>
                <c:pt idx="12">
                  <c:v>4.7000000000000002E-3</c:v>
                </c:pt>
                <c:pt idx="13">
                  <c:v>5.7999999999999996E-3</c:v>
                </c:pt>
                <c:pt idx="14">
                  <c:v>8.0999999999999996E-3</c:v>
                </c:pt>
                <c:pt idx="15">
                  <c:v>1.2699999999999999E-2</c:v>
                </c:pt>
                <c:pt idx="16">
                  <c:v>2.12E-2</c:v>
                </c:pt>
                <c:pt idx="17">
                  <c:v>3.4700000000000002E-2</c:v>
                </c:pt>
                <c:pt idx="18">
                  <c:v>5.3999999999999999E-2</c:v>
                </c:pt>
                <c:pt idx="19">
                  <c:v>7.9299999999999995E-2</c:v>
                </c:pt>
                <c:pt idx="20">
                  <c:v>0.11020000000000001</c:v>
                </c:pt>
                <c:pt idx="21">
                  <c:v>0.14580000000000001</c:v>
                </c:pt>
                <c:pt idx="22">
                  <c:v>0.18540000000000001</c:v>
                </c:pt>
                <c:pt idx="23">
                  <c:v>0.22739999999999999</c:v>
                </c:pt>
                <c:pt idx="24">
                  <c:v>0.27050000000000002</c:v>
                </c:pt>
                <c:pt idx="25">
                  <c:v>0.31319999999999998</c:v>
                </c:pt>
                <c:pt idx="26">
                  <c:v>0.35399999999999998</c:v>
                </c:pt>
                <c:pt idx="27">
                  <c:v>0.39179999999999998</c:v>
                </c:pt>
                <c:pt idx="28">
                  <c:v>0.42549999999999999</c:v>
                </c:pt>
                <c:pt idx="29">
                  <c:v>0.45419999999999999</c:v>
                </c:pt>
                <c:pt idx="30">
                  <c:v>0.47789999999999999</c:v>
                </c:pt>
                <c:pt idx="31">
                  <c:v>0.4965</c:v>
                </c:pt>
                <c:pt idx="32">
                  <c:v>0.50990000000000002</c:v>
                </c:pt>
                <c:pt idx="33">
                  <c:v>0.51859999999999995</c:v>
                </c:pt>
                <c:pt idx="34">
                  <c:v>0.52280000000000004</c:v>
                </c:pt>
                <c:pt idx="35">
                  <c:v>0.52310000000000001</c:v>
                </c:pt>
                <c:pt idx="36">
                  <c:v>0.51970000000000005</c:v>
                </c:pt>
                <c:pt idx="37">
                  <c:v>0.51319999999999999</c:v>
                </c:pt>
                <c:pt idx="38">
                  <c:v>0.50460000000000005</c:v>
                </c:pt>
                <c:pt idx="39">
                  <c:v>0.49359999999999998</c:v>
                </c:pt>
                <c:pt idx="40">
                  <c:v>0.48159999999999997</c:v>
                </c:pt>
                <c:pt idx="41">
                  <c:v>0.46860000000000002</c:v>
                </c:pt>
                <c:pt idx="42">
                  <c:v>0.45479999999999998</c:v>
                </c:pt>
                <c:pt idx="43">
                  <c:v>0.44040000000000001</c:v>
                </c:pt>
                <c:pt idx="44">
                  <c:v>0.42559999999999998</c:v>
                </c:pt>
                <c:pt idx="45">
                  <c:v>0.4108</c:v>
                </c:pt>
                <c:pt idx="46">
                  <c:v>0.39600000000000002</c:v>
                </c:pt>
                <c:pt idx="47">
                  <c:v>0.38129999999999997</c:v>
                </c:pt>
                <c:pt idx="48">
                  <c:v>0.36709999999999998</c:v>
                </c:pt>
                <c:pt idx="49">
                  <c:v>0.35310000000000002</c:v>
                </c:pt>
                <c:pt idx="50">
                  <c:v>0.3397</c:v>
                </c:pt>
                <c:pt idx="51">
                  <c:v>0.3266</c:v>
                </c:pt>
                <c:pt idx="52">
                  <c:v>0.31390000000000001</c:v>
                </c:pt>
                <c:pt idx="53">
                  <c:v>0.30180000000000001</c:v>
                </c:pt>
                <c:pt idx="54">
                  <c:v>0.29020000000000001</c:v>
                </c:pt>
                <c:pt idx="55">
                  <c:v>0.27910000000000001</c:v>
                </c:pt>
                <c:pt idx="56">
                  <c:v>0.26860000000000001</c:v>
                </c:pt>
                <c:pt idx="57">
                  <c:v>0.25850000000000001</c:v>
                </c:pt>
                <c:pt idx="58">
                  <c:v>0.24879999999999999</c:v>
                </c:pt>
                <c:pt idx="59">
                  <c:v>0.23960000000000001</c:v>
                </c:pt>
                <c:pt idx="60">
                  <c:v>0.23080000000000001</c:v>
                </c:pt>
                <c:pt idx="61">
                  <c:v>0.22270000000000001</c:v>
                </c:pt>
                <c:pt idx="62">
                  <c:v>0.21479999999999999</c:v>
                </c:pt>
                <c:pt idx="63">
                  <c:v>0.20749999999999999</c:v>
                </c:pt>
                <c:pt idx="64">
                  <c:v>0.20030000000000001</c:v>
                </c:pt>
                <c:pt idx="65">
                  <c:v>0.19359999999999999</c:v>
                </c:pt>
                <c:pt idx="66">
                  <c:v>0.18720000000000001</c:v>
                </c:pt>
                <c:pt idx="67">
                  <c:v>0.18110000000000001</c:v>
                </c:pt>
                <c:pt idx="68">
                  <c:v>0.17530000000000001</c:v>
                </c:pt>
                <c:pt idx="69">
                  <c:v>0.16969999999999999</c:v>
                </c:pt>
                <c:pt idx="70">
                  <c:v>0.16450000000000001</c:v>
                </c:pt>
                <c:pt idx="71">
                  <c:v>0.1595</c:v>
                </c:pt>
                <c:pt idx="72">
                  <c:v>0.1547</c:v>
                </c:pt>
                <c:pt idx="73">
                  <c:v>0.14979999999999999</c:v>
                </c:pt>
                <c:pt idx="74">
                  <c:v>0.14560000000000001</c:v>
                </c:pt>
                <c:pt idx="75">
                  <c:v>0.1414</c:v>
                </c:pt>
                <c:pt idx="76">
                  <c:v>0.13730000000000001</c:v>
                </c:pt>
                <c:pt idx="77">
                  <c:v>0.13350000000000001</c:v>
                </c:pt>
                <c:pt idx="78">
                  <c:v>0.1298</c:v>
                </c:pt>
                <c:pt idx="79">
                  <c:v>0.1263</c:v>
                </c:pt>
                <c:pt idx="80">
                  <c:v>0.1197</c:v>
                </c:pt>
                <c:pt idx="81">
                  <c:v>0.1135</c:v>
                </c:pt>
                <c:pt idx="82">
                  <c:v>0.10780000000000001</c:v>
                </c:pt>
                <c:pt idx="83">
                  <c:v>0.1026</c:v>
                </c:pt>
                <c:pt idx="84">
                  <c:v>9.7699999999999995E-2</c:v>
                </c:pt>
                <c:pt idx="85">
                  <c:v>9.3299999999999994E-2</c:v>
                </c:pt>
                <c:pt idx="86">
                  <c:v>8.8999999999999996E-2</c:v>
                </c:pt>
                <c:pt idx="87">
                  <c:v>8.5099999999999995E-2</c:v>
                </c:pt>
                <c:pt idx="88">
                  <c:v>8.1500000000000003E-2</c:v>
                </c:pt>
                <c:pt idx="89">
                  <c:v>7.8100000000000003E-2</c:v>
                </c:pt>
                <c:pt idx="90">
                  <c:v>7.0499999999999993E-2</c:v>
                </c:pt>
                <c:pt idx="91">
                  <c:v>6.4000000000000001E-2</c:v>
                </c:pt>
                <c:pt idx="92">
                  <c:v>5.8299999999999998E-2</c:v>
                </c:pt>
                <c:pt idx="93">
                  <c:v>5.3400000000000003E-2</c:v>
                </c:pt>
                <c:pt idx="94">
                  <c:v>4.9099999999999998E-2</c:v>
                </c:pt>
                <c:pt idx="95">
                  <c:v>4.53E-2</c:v>
                </c:pt>
                <c:pt idx="96">
                  <c:v>4.19E-2</c:v>
                </c:pt>
                <c:pt idx="97">
                  <c:v>3.8899999999999997E-2</c:v>
                </c:pt>
                <c:pt idx="98">
                  <c:v>3.6200000000000003E-2</c:v>
                </c:pt>
                <c:pt idx="99">
                  <c:v>3.3799999999999997E-2</c:v>
                </c:pt>
                <c:pt idx="100">
                  <c:v>3.1600000000000003E-2</c:v>
                </c:pt>
                <c:pt idx="101">
                  <c:v>2.9700000000000001E-2</c:v>
                </c:pt>
                <c:pt idx="102">
                  <c:v>2.7900000000000001E-2</c:v>
                </c:pt>
                <c:pt idx="103">
                  <c:v>2.6200000000000001E-2</c:v>
                </c:pt>
                <c:pt idx="104">
                  <c:v>2.4799999999999999E-2</c:v>
                </c:pt>
                <c:pt idx="105">
                  <c:v>2.3300000000000001E-2</c:v>
                </c:pt>
                <c:pt idx="106">
                  <c:v>2.2200000000000001E-2</c:v>
                </c:pt>
                <c:pt idx="107">
                  <c:v>2.1000000000000001E-2</c:v>
                </c:pt>
                <c:pt idx="108">
                  <c:v>0.02</c:v>
                </c:pt>
                <c:pt idx="109">
                  <c:v>1.89E-2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76-411A-9872-C2F00376B115}"/>
            </c:ext>
          </c:extLst>
        </c:ser>
        <c:ser>
          <c:idx val="1"/>
          <c:order val="1"/>
          <c:tx>
            <c:strRef>
              <c:f>'LCVR 532nm'!$I$1</c:f>
              <c:strCache>
                <c:ptCount val="1"/>
                <c:pt idx="0">
                  <c:v>I_normed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'LCVR 532nm'!$G$2:$G$111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532nm'!$I$2:$I$111</c:f>
              <c:numCache>
                <c:formatCode>General</c:formatCode>
                <c:ptCount val="110"/>
                <c:pt idx="0">
                  <c:v>3.1021131561008862E-3</c:v>
                </c:pt>
                <c:pt idx="1">
                  <c:v>3.1021131561008862E-3</c:v>
                </c:pt>
                <c:pt idx="2">
                  <c:v>3.1021131561008862E-3</c:v>
                </c:pt>
                <c:pt idx="3">
                  <c:v>3.0999999999999999E-3</c:v>
                </c:pt>
                <c:pt idx="4">
                  <c:v>3.2000000000000002E-3</c:v>
                </c:pt>
                <c:pt idx="5">
                  <c:v>3.2000000000000002E-3</c:v>
                </c:pt>
                <c:pt idx="6">
                  <c:v>3.3E-3</c:v>
                </c:pt>
                <c:pt idx="7">
                  <c:v>3.3E-3</c:v>
                </c:pt>
                <c:pt idx="8">
                  <c:v>3.3999999999999998E-3</c:v>
                </c:pt>
                <c:pt idx="9">
                  <c:v>3.4999999999999996E-3</c:v>
                </c:pt>
                <c:pt idx="10">
                  <c:v>3.7025221540558971E-3</c:v>
                </c:pt>
                <c:pt idx="11">
                  <c:v>4.1027948193592366E-3</c:v>
                </c:pt>
                <c:pt idx="12">
                  <c:v>4.7032038173142471E-3</c:v>
                </c:pt>
                <c:pt idx="13">
                  <c:v>5.8079126875852666E-3</c:v>
                </c:pt>
                <c:pt idx="14">
                  <c:v>8.1055214723926398E-3</c:v>
                </c:pt>
                <c:pt idx="15">
                  <c:v>1.270865712338105E-2</c:v>
                </c:pt>
                <c:pt idx="16">
                  <c:v>2.121445126107703E-2</c:v>
                </c:pt>
                <c:pt idx="17">
                  <c:v>3.4723653715064765E-2</c:v>
                </c:pt>
                <c:pt idx="18">
                  <c:v>5.4110580204778165E-2</c:v>
                </c:pt>
                <c:pt idx="19">
                  <c:v>7.9462389078498299E-2</c:v>
                </c:pt>
                <c:pt idx="20">
                  <c:v>0.11042566552901026</c:v>
                </c:pt>
                <c:pt idx="21">
                  <c:v>0.14609856655290104</c:v>
                </c:pt>
                <c:pt idx="22">
                  <c:v>0.1859065573770492</c:v>
                </c:pt>
                <c:pt idx="23">
                  <c:v>0.22802131147540983</c:v>
                </c:pt>
                <c:pt idx="24">
                  <c:v>0.2712390710382514</c:v>
                </c:pt>
                <c:pt idx="25">
                  <c:v>0.31405573770491801</c:v>
                </c:pt>
                <c:pt idx="26">
                  <c:v>0.35520984278879014</c:v>
                </c:pt>
                <c:pt idx="27">
                  <c:v>0.39340793433652532</c:v>
                </c:pt>
                <c:pt idx="28">
                  <c:v>0.42724623803009576</c:v>
                </c:pt>
                <c:pt idx="29">
                  <c:v>0.456376180698152</c:v>
                </c:pt>
                <c:pt idx="30">
                  <c:v>0.48018973305954826</c:v>
                </c:pt>
                <c:pt idx="31">
                  <c:v>0.49887885010266947</c:v>
                </c:pt>
                <c:pt idx="32">
                  <c:v>0.51234305270362768</c:v>
                </c:pt>
                <c:pt idx="33">
                  <c:v>0.52108473648186171</c:v>
                </c:pt>
                <c:pt idx="34">
                  <c:v>0.52530485968514729</c:v>
                </c:pt>
                <c:pt idx="35">
                  <c:v>0.5256062970568105</c:v>
                </c:pt>
                <c:pt idx="36">
                  <c:v>0.52254767123287693</c:v>
                </c:pt>
                <c:pt idx="37">
                  <c:v>0.5163657299520219</c:v>
                </c:pt>
                <c:pt idx="38">
                  <c:v>0.50771267991775193</c:v>
                </c:pt>
                <c:pt idx="39">
                  <c:v>0.49698545953360768</c:v>
                </c:pt>
                <c:pt idx="40">
                  <c:v>0.48490315500685871</c:v>
                </c:pt>
                <c:pt idx="41">
                  <c:v>0.47181399176954736</c:v>
                </c:pt>
                <c:pt idx="42">
                  <c:v>0.45791934156378594</c:v>
                </c:pt>
                <c:pt idx="43">
                  <c:v>0.44342057613168728</c:v>
                </c:pt>
                <c:pt idx="44">
                  <c:v>0.42851906721536354</c:v>
                </c:pt>
                <c:pt idx="45">
                  <c:v>0.41361755829903979</c:v>
                </c:pt>
                <c:pt idx="46">
                  <c:v>0.39871604938271604</c:v>
                </c:pt>
                <c:pt idx="47">
                  <c:v>0.38391522633744851</c:v>
                </c:pt>
                <c:pt idx="48">
                  <c:v>0.36961783264746229</c:v>
                </c:pt>
                <c:pt idx="49">
                  <c:v>0.35552181069958849</c:v>
                </c:pt>
                <c:pt idx="50">
                  <c:v>0.34202990397805211</c:v>
                </c:pt>
                <c:pt idx="51">
                  <c:v>0.32884005486968448</c:v>
                </c:pt>
                <c:pt idx="52">
                  <c:v>0.31605294924554184</c:v>
                </c:pt>
                <c:pt idx="53">
                  <c:v>0.30386995884773665</c:v>
                </c:pt>
                <c:pt idx="54">
                  <c:v>0.29219039780521261</c:v>
                </c:pt>
                <c:pt idx="55">
                  <c:v>0.28101426611796987</c:v>
                </c:pt>
                <c:pt idx="56">
                  <c:v>0.27044224965706448</c:v>
                </c:pt>
                <c:pt idx="57">
                  <c:v>0.26027297668038407</c:v>
                </c:pt>
                <c:pt idx="58">
                  <c:v>0.25050644718792864</c:v>
                </c:pt>
                <c:pt idx="59">
                  <c:v>0.24124334705075445</c:v>
                </c:pt>
                <c:pt idx="60">
                  <c:v>0.23238299039780524</c:v>
                </c:pt>
                <c:pt idx="61">
                  <c:v>0.22422743484224966</c:v>
                </c:pt>
                <c:pt idx="62">
                  <c:v>0.21627325102880657</c:v>
                </c:pt>
                <c:pt idx="63">
                  <c:v>0.20906657515442692</c:v>
                </c:pt>
                <c:pt idx="64">
                  <c:v>0.20195082417582419</c:v>
                </c:pt>
                <c:pt idx="65">
                  <c:v>0.19519560439560441</c:v>
                </c:pt>
                <c:pt idx="66">
                  <c:v>0.18874285714285716</c:v>
                </c:pt>
                <c:pt idx="67">
                  <c:v>0.18259258241758244</c:v>
                </c:pt>
                <c:pt idx="68">
                  <c:v>0.17674478021978024</c:v>
                </c:pt>
                <c:pt idx="69">
                  <c:v>0.17109862637362636</c:v>
                </c:pt>
                <c:pt idx="70">
                  <c:v>0.16585576923076925</c:v>
                </c:pt>
                <c:pt idx="71">
                  <c:v>0.16081456043956047</c:v>
                </c:pt>
                <c:pt idx="72">
                  <c:v>0.155975</c:v>
                </c:pt>
                <c:pt idx="73">
                  <c:v>0.15124236588720769</c:v>
                </c:pt>
                <c:pt idx="74">
                  <c:v>0.14700192572214582</c:v>
                </c:pt>
                <c:pt idx="75">
                  <c:v>0.14276148555708393</c:v>
                </c:pt>
                <c:pt idx="76">
                  <c:v>0.13862200825309492</c:v>
                </c:pt>
                <c:pt idx="77">
                  <c:v>0.13487818306951135</c:v>
                </c:pt>
                <c:pt idx="78">
                  <c:v>0.13104979367262723</c:v>
                </c:pt>
                <c:pt idx="79">
                  <c:v>0.12751609353507565</c:v>
                </c:pt>
                <c:pt idx="80">
                  <c:v>0.12085254470426411</c:v>
                </c:pt>
                <c:pt idx="81">
                  <c:v>0.11459284731774416</c:v>
                </c:pt>
                <c:pt idx="82">
                  <c:v>0.10906299104066162</c:v>
                </c:pt>
                <c:pt idx="83">
                  <c:v>0.10380206753962784</c:v>
                </c:pt>
                <c:pt idx="84">
                  <c:v>9.8844658855961401E-2</c:v>
                </c:pt>
                <c:pt idx="85">
                  <c:v>9.4393108201240528E-2</c:v>
                </c:pt>
                <c:pt idx="86">
                  <c:v>9.0104827586206915E-2</c:v>
                </c:pt>
                <c:pt idx="87">
                  <c:v>8.609703652653343E-2</c:v>
                </c:pt>
                <c:pt idx="88">
                  <c:v>8.245485871812544E-2</c:v>
                </c:pt>
                <c:pt idx="89">
                  <c:v>7.8906262904335861E-2</c:v>
                </c:pt>
                <c:pt idx="90">
                  <c:v>7.1227804542326217E-2</c:v>
                </c:pt>
                <c:pt idx="91">
                  <c:v>6.4660701995870609E-2</c:v>
                </c:pt>
                <c:pt idx="92">
                  <c:v>5.8901858224363383E-2</c:v>
                </c:pt>
                <c:pt idx="93">
                  <c:v>5.3951273227804547E-2</c:v>
                </c:pt>
                <c:pt idx="94">
                  <c:v>4.9606882312456989E-2</c:v>
                </c:pt>
                <c:pt idx="95">
                  <c:v>4.5767653131452167E-2</c:v>
                </c:pt>
                <c:pt idx="96">
                  <c:v>4.233255333792154E-2</c:v>
                </c:pt>
                <c:pt idx="97">
                  <c:v>3.9301582931865107E-2</c:v>
                </c:pt>
                <c:pt idx="98">
                  <c:v>3.6573709566414321E-2</c:v>
                </c:pt>
                <c:pt idx="99">
                  <c:v>3.4148933241569167E-2</c:v>
                </c:pt>
                <c:pt idx="100">
                  <c:v>3.1926221610461117E-2</c:v>
                </c:pt>
                <c:pt idx="101">
                  <c:v>3.0006607019958706E-2</c:v>
                </c:pt>
                <c:pt idx="102">
                  <c:v>2.8188024776324847E-2</c:v>
                </c:pt>
                <c:pt idx="103">
                  <c:v>2.6470474879559534E-2</c:v>
                </c:pt>
                <c:pt idx="104">
                  <c:v>2.5056022023399863E-2</c:v>
                </c:pt>
                <c:pt idx="105">
                  <c:v>2.3540536820371646E-2</c:v>
                </c:pt>
                <c:pt idx="106">
                  <c:v>2.2429181004817618E-2</c:v>
                </c:pt>
                <c:pt idx="107">
                  <c:v>2.1216792842395048E-2</c:v>
                </c:pt>
                <c:pt idx="108">
                  <c:v>2.0206469373709568E-2</c:v>
                </c:pt>
                <c:pt idx="109">
                  <c:v>1.909511355815554E-2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76-411A-9872-C2F00376B115}"/>
            </c:ext>
          </c:extLst>
        </c:ser>
        <c:ser>
          <c:idx val="2"/>
          <c:order val="2"/>
          <c:tx>
            <c:strRef>
              <c:f>'LCVR 532nm'!$J$1</c:f>
              <c:strCache>
                <c:ptCount val="1"/>
                <c:pt idx="0">
                  <c:v>f (rad)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'LCVR 532nm'!$G$2:$G$111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532nm'!$J$2:$J$111</c:f>
              <c:numCache>
                <c:formatCode>General</c:formatCode>
                <c:ptCount val="110"/>
                <c:pt idx="0">
                  <c:v>0.15380011493895984</c:v>
                </c:pt>
                <c:pt idx="1">
                  <c:v>0.15380011493895984</c:v>
                </c:pt>
                <c:pt idx="2">
                  <c:v>0.15380011493895984</c:v>
                </c:pt>
                <c:pt idx="3">
                  <c:v>0.15374761831003703</c:v>
                </c:pt>
                <c:pt idx="4">
                  <c:v>0.15621271162315797</c:v>
                </c:pt>
                <c:pt idx="5">
                  <c:v>0.15621271162315797</c:v>
                </c:pt>
                <c:pt idx="6">
                  <c:v>0.15863981178676312</c:v>
                </c:pt>
                <c:pt idx="7">
                  <c:v>0.15863981178676312</c:v>
                </c:pt>
                <c:pt idx="8">
                  <c:v>0.16103063683381569</c:v>
                </c:pt>
                <c:pt idx="9">
                  <c:v>0.16338677929570844</c:v>
                </c:pt>
                <c:pt idx="10">
                  <c:v>0.16805821769528095</c:v>
                </c:pt>
                <c:pt idx="11">
                  <c:v>0.17693194193604422</c:v>
                </c:pt>
                <c:pt idx="12">
                  <c:v>0.18947261102014301</c:v>
                </c:pt>
                <c:pt idx="13">
                  <c:v>0.21062641522529124</c:v>
                </c:pt>
                <c:pt idx="14">
                  <c:v>0.24900770834476282</c:v>
                </c:pt>
                <c:pt idx="15">
                  <c:v>0.31225932090402719</c:v>
                </c:pt>
                <c:pt idx="16">
                  <c:v>0.40455850031432616</c:v>
                </c:pt>
                <c:pt idx="17">
                  <c:v>0.51989368086417631</c:v>
                </c:pt>
                <c:pt idx="18">
                  <c:v>0.65326728292320457</c:v>
                </c:pt>
                <c:pt idx="19">
                  <c:v>0.79870468996226085</c:v>
                </c:pt>
                <c:pt idx="20">
                  <c:v>0.95229343213185658</c:v>
                </c:pt>
                <c:pt idx="21">
                  <c:v>1.1106535456772759</c:v>
                </c:pt>
                <c:pt idx="22">
                  <c:v>1.2738500672608537</c:v>
                </c:pt>
                <c:pt idx="23">
                  <c:v>1.4380574766052632</c:v>
                </c:pt>
                <c:pt idx="24">
                  <c:v>1.6029016191107803</c:v>
                </c:pt>
                <c:pt idx="25">
                  <c:v>1.7670769584817916</c:v>
                </c:pt>
                <c:pt idx="26">
                  <c:v>1.9300967695222038</c:v>
                </c:pt>
                <c:pt idx="27">
                  <c:v>2.0908977090787038</c:v>
                </c:pt>
                <c:pt idx="28">
                  <c:v>2.2468598238159094</c:v>
                </c:pt>
                <c:pt idx="29">
                  <c:v>2.3987819863997766</c:v>
                </c:pt>
                <c:pt idx="30">
                  <c:v>2.5448742473050583</c:v>
                </c:pt>
                <c:pt idx="31">
                  <c:v>2.6866781662216219</c:v>
                </c:pt>
                <c:pt idx="32">
                  <c:v>2.8225356729037325</c:v>
                </c:pt>
                <c:pt idx="33">
                  <c:v>2.9558256653333794</c:v>
                </c:pt>
                <c:pt idx="34">
                  <c:v>3.0936921826395416</c:v>
                </c:pt>
                <c:pt idx="35">
                  <c:v>3.1415926535897931</c:v>
                </c:pt>
                <c:pt idx="36">
                  <c:v>2.9888764908505965</c:v>
                </c:pt>
                <c:pt idx="37">
                  <c:v>2.8756243697080581</c:v>
                </c:pt>
                <c:pt idx="38">
                  <c:v>2.7704470623948025</c:v>
                </c:pt>
                <c:pt idx="39">
                  <c:v>2.670546492228187</c:v>
                </c:pt>
                <c:pt idx="40">
                  <c:v>2.5775845754344022</c:v>
                </c:pt>
                <c:pt idx="41">
                  <c:v>2.4903205832309205</c:v>
                </c:pt>
                <c:pt idx="42">
                  <c:v>2.4075051790042328</c:v>
                </c:pt>
                <c:pt idx="43">
                  <c:v>2.3285241229580387</c:v>
                </c:pt>
                <c:pt idx="44">
                  <c:v>2.253084403481314</c:v>
                </c:pt>
                <c:pt idx="45">
                  <c:v>2.1820179727917659</c:v>
                </c:pt>
                <c:pt idx="46">
                  <c:v>2.1143329724771576</c:v>
                </c:pt>
                <c:pt idx="47">
                  <c:v>2.0497458282205856</c:v>
                </c:pt>
                <c:pt idx="48">
                  <c:v>1.9893547042850672</c:v>
                </c:pt>
                <c:pt idx="49">
                  <c:v>1.9313651242431245</c:v>
                </c:pt>
                <c:pt idx="50">
                  <c:v>1.8770282994449143</c:v>
                </c:pt>
                <c:pt idx="51">
                  <c:v>1.8247977295259468</c:v>
                </c:pt>
                <c:pt idx="52">
                  <c:v>1.7748314426927529</c:v>
                </c:pt>
                <c:pt idx="53">
                  <c:v>1.7277039078687297</c:v>
                </c:pt>
                <c:pt idx="54">
                  <c:v>1.6828529774402092</c:v>
                </c:pt>
                <c:pt idx="55">
                  <c:v>1.6401475651702977</c:v>
                </c:pt>
                <c:pt idx="56">
                  <c:v>1.5998681904244421</c:v>
                </c:pt>
                <c:pt idx="57">
                  <c:v>1.561168546643477</c:v>
                </c:pt>
                <c:pt idx="58">
                  <c:v>1.523988696029595</c:v>
                </c:pt>
                <c:pt idx="59">
                  <c:v>1.488666189510599</c:v>
                </c:pt>
                <c:pt idx="60">
                  <c:v>1.4547836275052792</c:v>
                </c:pt>
                <c:pt idx="61">
                  <c:v>1.4234784581773039</c:v>
                </c:pt>
                <c:pt idx="62">
                  <c:v>1.3928057212363094</c:v>
                </c:pt>
                <c:pt idx="63">
                  <c:v>1.364869371701865</c:v>
                </c:pt>
                <c:pt idx="64">
                  <c:v>1.3371246454931767</c:v>
                </c:pt>
                <c:pt idx="65">
                  <c:v>1.3106153340893121</c:v>
                </c:pt>
                <c:pt idx="66">
                  <c:v>1.2851173277049941</c:v>
                </c:pt>
                <c:pt idx="67">
                  <c:v>1.2606357162687332</c:v>
                </c:pt>
                <c:pt idx="68">
                  <c:v>1.2371788026468344</c:v>
                </c:pt>
                <c:pt idx="69">
                  <c:v>1.2143484703559884</c:v>
                </c:pt>
                <c:pt idx="70">
                  <c:v>1.1929739304533791</c:v>
                </c:pt>
                <c:pt idx="71">
                  <c:v>1.1722491640280284</c:v>
                </c:pt>
                <c:pt idx="72">
                  <c:v>1.1521818742089298</c:v>
                </c:pt>
                <c:pt idx="73">
                  <c:v>1.1323831820177772</c:v>
                </c:pt>
                <c:pt idx="74">
                  <c:v>1.1144863436131791</c:v>
                </c:pt>
                <c:pt idx="75">
                  <c:v>1.0964308626927322</c:v>
                </c:pt>
                <c:pt idx="76">
                  <c:v>1.0786423561901581</c:v>
                </c:pt>
                <c:pt idx="77">
                  <c:v>1.0624068335684345</c:v>
                </c:pt>
                <c:pt idx="78">
                  <c:v>1.0456512120154859</c:v>
                </c:pt>
                <c:pt idx="79">
                  <c:v>1.0300397614063446</c:v>
                </c:pt>
                <c:pt idx="80">
                  <c:v>1.0001923688733085</c:v>
                </c:pt>
                <c:pt idx="81">
                  <c:v>0.97162374567454302</c:v>
                </c:pt>
                <c:pt idx="82">
                  <c:v>0.94591478833694809</c:v>
                </c:pt>
                <c:pt idx="83">
                  <c:v>0.92100572262562286</c:v>
                </c:pt>
                <c:pt idx="84">
                  <c:v>0.89709452558277214</c:v>
                </c:pt>
                <c:pt idx="85">
                  <c:v>0.8752277882901992</c:v>
                </c:pt>
                <c:pt idx="86">
                  <c:v>0.85377884672895332</c:v>
                </c:pt>
                <c:pt idx="87">
                  <c:v>0.83336388415109086</c:v>
                </c:pt>
                <c:pt idx="88">
                  <c:v>0.8144774280140098</c:v>
                </c:pt>
                <c:pt idx="89">
                  <c:v>0.79574680312677204</c:v>
                </c:pt>
                <c:pt idx="90">
                  <c:v>0.75398171701308958</c:v>
                </c:pt>
                <c:pt idx="91">
                  <c:v>0.71673035788847428</c:v>
                </c:pt>
                <c:pt idx="92">
                  <c:v>0.68270212522158957</c:v>
                </c:pt>
                <c:pt idx="93">
                  <c:v>0.65226926545781871</c:v>
                </c:pt>
                <c:pt idx="94">
                  <c:v>0.62452766458726061</c:v>
                </c:pt>
                <c:pt idx="95">
                  <c:v>0.59909167149788312</c:v>
                </c:pt>
                <c:pt idx="96">
                  <c:v>0.57550206802715131</c:v>
                </c:pt>
                <c:pt idx="97">
                  <c:v>0.553951659094297</c:v>
                </c:pt>
                <c:pt idx="98">
                  <c:v>0.53389338406620013</c:v>
                </c:pt>
                <c:pt idx="99">
                  <c:v>0.51547455702201805</c:v>
                </c:pt>
                <c:pt idx="100">
                  <c:v>0.49804828070228302</c:v>
                </c:pt>
                <c:pt idx="101">
                  <c:v>0.48253605139266265</c:v>
                </c:pt>
                <c:pt idx="102">
                  <c:v>0.46740413016716231</c:v>
                </c:pt>
                <c:pt idx="103">
                  <c:v>0.45268399184919295</c:v>
                </c:pt>
                <c:pt idx="104">
                  <c:v>0.44021845576424634</c:v>
                </c:pt>
                <c:pt idx="105">
                  <c:v>0.42648553718228155</c:v>
                </c:pt>
                <c:pt idx="106">
                  <c:v>0.41614501344346877</c:v>
                </c:pt>
                <c:pt idx="107">
                  <c:v>0.40458113621789815</c:v>
                </c:pt>
                <c:pt idx="108">
                  <c:v>0.39470051224986125</c:v>
                </c:pt>
                <c:pt idx="109">
                  <c:v>0.38355373549386584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76-411A-9872-C2F00376B115}"/>
            </c:ext>
          </c:extLst>
        </c:ser>
        <c:ser>
          <c:idx val="3"/>
          <c:order val="3"/>
          <c:tx>
            <c:strRef>
              <c:f>'LCVR 532nm'!$K$1</c:f>
              <c:strCache>
                <c:ptCount val="1"/>
                <c:pt idx="0">
                  <c:v>d with phase corr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'LCVR 532nm'!$G$2:$G$111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532nm'!$K$2:$K$111</c:f>
              <c:numCache>
                <c:formatCode>General</c:formatCode>
                <c:ptCount val="110"/>
                <c:pt idx="0">
                  <c:v>6.1293851922406262</c:v>
                </c:pt>
                <c:pt idx="1">
                  <c:v>6.1293851922406262</c:v>
                </c:pt>
                <c:pt idx="2">
                  <c:v>6.1293851922406262</c:v>
                </c:pt>
                <c:pt idx="3">
                  <c:v>6.1294376888695492</c:v>
                </c:pt>
                <c:pt idx="4">
                  <c:v>6.1269725955564285</c:v>
                </c:pt>
                <c:pt idx="5">
                  <c:v>6.1269725955564285</c:v>
                </c:pt>
                <c:pt idx="6">
                  <c:v>6.1245454953928231</c:v>
                </c:pt>
                <c:pt idx="7">
                  <c:v>6.1245454953928231</c:v>
                </c:pt>
                <c:pt idx="8">
                  <c:v>6.1221546703457701</c:v>
                </c:pt>
                <c:pt idx="9">
                  <c:v>6.1197985278838782</c:v>
                </c:pt>
                <c:pt idx="10">
                  <c:v>6.1151270894843055</c:v>
                </c:pt>
                <c:pt idx="11">
                  <c:v>6.1062533652435418</c:v>
                </c:pt>
                <c:pt idx="12">
                  <c:v>6.093712696159443</c:v>
                </c:pt>
                <c:pt idx="13">
                  <c:v>6.0725588919542952</c:v>
                </c:pt>
                <c:pt idx="14">
                  <c:v>6.0341775988348232</c:v>
                </c:pt>
                <c:pt idx="15">
                  <c:v>5.9709259862755593</c:v>
                </c:pt>
                <c:pt idx="16">
                  <c:v>5.8786268068652596</c:v>
                </c:pt>
                <c:pt idx="17">
                  <c:v>5.7632916263154099</c:v>
                </c:pt>
                <c:pt idx="18">
                  <c:v>5.6299180242563818</c:v>
                </c:pt>
                <c:pt idx="19">
                  <c:v>5.4844806172173257</c:v>
                </c:pt>
                <c:pt idx="20">
                  <c:v>5.3308918750477297</c:v>
                </c:pt>
                <c:pt idx="21">
                  <c:v>5.1725317615023103</c:v>
                </c:pt>
                <c:pt idx="22">
                  <c:v>5.0093352399187321</c:v>
                </c:pt>
                <c:pt idx="23">
                  <c:v>4.8451278305743228</c:v>
                </c:pt>
                <c:pt idx="24">
                  <c:v>4.6802836880688057</c:v>
                </c:pt>
                <c:pt idx="25">
                  <c:v>4.5161083486977951</c:v>
                </c:pt>
                <c:pt idx="26">
                  <c:v>4.3530885376573822</c:v>
                </c:pt>
                <c:pt idx="27">
                  <c:v>4.1922875981008829</c:v>
                </c:pt>
                <c:pt idx="28">
                  <c:v>4.0363254833636768</c:v>
                </c:pt>
                <c:pt idx="29">
                  <c:v>3.8844033207798097</c:v>
                </c:pt>
                <c:pt idx="30">
                  <c:v>3.7383110598745279</c:v>
                </c:pt>
                <c:pt idx="31">
                  <c:v>3.5965071409579643</c:v>
                </c:pt>
                <c:pt idx="32">
                  <c:v>3.4606496342758537</c:v>
                </c:pt>
                <c:pt idx="33">
                  <c:v>3.3273596418462068</c:v>
                </c:pt>
                <c:pt idx="34">
                  <c:v>3.1894931245400446</c:v>
                </c:pt>
                <c:pt idx="35">
                  <c:v>3.1415926535897931</c:v>
                </c:pt>
                <c:pt idx="36">
                  <c:v>2.9888764908505965</c:v>
                </c:pt>
                <c:pt idx="37">
                  <c:v>2.8756243697080581</c:v>
                </c:pt>
                <c:pt idx="38">
                  <c:v>2.7704470623948025</c:v>
                </c:pt>
                <c:pt idx="39">
                  <c:v>2.670546492228187</c:v>
                </c:pt>
                <c:pt idx="40">
                  <c:v>2.5775845754344022</c:v>
                </c:pt>
                <c:pt idx="41">
                  <c:v>2.4903205832309205</c:v>
                </c:pt>
                <c:pt idx="42">
                  <c:v>2.4075051790042328</c:v>
                </c:pt>
                <c:pt idx="43">
                  <c:v>2.3285241229580387</c:v>
                </c:pt>
                <c:pt idx="44">
                  <c:v>2.253084403481314</c:v>
                </c:pt>
                <c:pt idx="45">
                  <c:v>2.1820179727917659</c:v>
                </c:pt>
                <c:pt idx="46">
                  <c:v>2.1143329724771576</c:v>
                </c:pt>
                <c:pt idx="47">
                  <c:v>2.0497458282205856</c:v>
                </c:pt>
                <c:pt idx="48">
                  <c:v>1.9893547042850672</c:v>
                </c:pt>
                <c:pt idx="49">
                  <c:v>1.9313651242431245</c:v>
                </c:pt>
                <c:pt idx="50">
                  <c:v>1.8770282994449143</c:v>
                </c:pt>
                <c:pt idx="51">
                  <c:v>1.8247977295259468</c:v>
                </c:pt>
                <c:pt idx="52">
                  <c:v>1.7748314426927529</c:v>
                </c:pt>
                <c:pt idx="53">
                  <c:v>1.7277039078687297</c:v>
                </c:pt>
                <c:pt idx="54">
                  <c:v>1.6828529774402092</c:v>
                </c:pt>
                <c:pt idx="55">
                  <c:v>1.6401475651702977</c:v>
                </c:pt>
                <c:pt idx="56">
                  <c:v>1.5998681904244421</c:v>
                </c:pt>
                <c:pt idx="57">
                  <c:v>1.561168546643477</c:v>
                </c:pt>
                <c:pt idx="58">
                  <c:v>1.523988696029595</c:v>
                </c:pt>
                <c:pt idx="59">
                  <c:v>1.488666189510599</c:v>
                </c:pt>
                <c:pt idx="60">
                  <c:v>1.4547836275052792</c:v>
                </c:pt>
                <c:pt idx="61">
                  <c:v>1.4234784581773039</c:v>
                </c:pt>
                <c:pt idx="62">
                  <c:v>1.3928057212363094</c:v>
                </c:pt>
                <c:pt idx="63">
                  <c:v>1.364869371701865</c:v>
                </c:pt>
                <c:pt idx="64">
                  <c:v>1.3371246454931767</c:v>
                </c:pt>
                <c:pt idx="65">
                  <c:v>1.3106153340893121</c:v>
                </c:pt>
                <c:pt idx="66">
                  <c:v>1.2851173277049941</c:v>
                </c:pt>
                <c:pt idx="67">
                  <c:v>1.2606357162687332</c:v>
                </c:pt>
                <c:pt idx="68">
                  <c:v>1.2371788026468344</c:v>
                </c:pt>
                <c:pt idx="69">
                  <c:v>1.2143484703559884</c:v>
                </c:pt>
                <c:pt idx="70">
                  <c:v>1.1929739304533791</c:v>
                </c:pt>
                <c:pt idx="71">
                  <c:v>1.1722491640280284</c:v>
                </c:pt>
                <c:pt idx="72">
                  <c:v>1.1521818742089298</c:v>
                </c:pt>
                <c:pt idx="73">
                  <c:v>1.1323831820177772</c:v>
                </c:pt>
                <c:pt idx="74">
                  <c:v>1.1144863436131791</c:v>
                </c:pt>
                <c:pt idx="75">
                  <c:v>1.0964308626927322</c:v>
                </c:pt>
                <c:pt idx="76">
                  <c:v>1.0786423561901581</c:v>
                </c:pt>
                <c:pt idx="77">
                  <c:v>1.0624068335684345</c:v>
                </c:pt>
                <c:pt idx="78">
                  <c:v>1.0456512120154859</c:v>
                </c:pt>
                <c:pt idx="79">
                  <c:v>1.0300397614063446</c:v>
                </c:pt>
                <c:pt idx="80">
                  <c:v>1.0001923688733085</c:v>
                </c:pt>
                <c:pt idx="81">
                  <c:v>0.97162374567454302</c:v>
                </c:pt>
                <c:pt idx="82">
                  <c:v>0.94591478833694809</c:v>
                </c:pt>
                <c:pt idx="83">
                  <c:v>0.92100572262562286</c:v>
                </c:pt>
                <c:pt idx="84">
                  <c:v>0.89709452558277214</c:v>
                </c:pt>
                <c:pt idx="85">
                  <c:v>0.8752277882901992</c:v>
                </c:pt>
                <c:pt idx="86">
                  <c:v>0.85377884672895332</c:v>
                </c:pt>
                <c:pt idx="87">
                  <c:v>0.83336388415109086</c:v>
                </c:pt>
                <c:pt idx="88">
                  <c:v>0.8144774280140098</c:v>
                </c:pt>
                <c:pt idx="89">
                  <c:v>0.79574680312677204</c:v>
                </c:pt>
                <c:pt idx="90">
                  <c:v>0.75398171701308958</c:v>
                </c:pt>
                <c:pt idx="91">
                  <c:v>0.71673035788847428</c:v>
                </c:pt>
                <c:pt idx="92">
                  <c:v>0.68270212522158957</c:v>
                </c:pt>
                <c:pt idx="93">
                  <c:v>0.65226926545781871</c:v>
                </c:pt>
                <c:pt idx="94">
                  <c:v>0.62452766458726061</c:v>
                </c:pt>
                <c:pt idx="95">
                  <c:v>0.59909167149788312</c:v>
                </c:pt>
                <c:pt idx="96">
                  <c:v>0.57550206802715131</c:v>
                </c:pt>
                <c:pt idx="97">
                  <c:v>0.553951659094297</c:v>
                </c:pt>
                <c:pt idx="98">
                  <c:v>0.53389338406620013</c:v>
                </c:pt>
                <c:pt idx="99">
                  <c:v>0.51547455702201805</c:v>
                </c:pt>
                <c:pt idx="100">
                  <c:v>0.49804828070228302</c:v>
                </c:pt>
                <c:pt idx="101">
                  <c:v>0.48253605139266265</c:v>
                </c:pt>
                <c:pt idx="102">
                  <c:v>0.46740413016716231</c:v>
                </c:pt>
                <c:pt idx="103">
                  <c:v>0.45268399184919295</c:v>
                </c:pt>
                <c:pt idx="104">
                  <c:v>0.44021845576424634</c:v>
                </c:pt>
                <c:pt idx="105">
                  <c:v>0.42648553718228155</c:v>
                </c:pt>
                <c:pt idx="106">
                  <c:v>0.41614501344346877</c:v>
                </c:pt>
                <c:pt idx="107">
                  <c:v>0.40458113621789815</c:v>
                </c:pt>
                <c:pt idx="108">
                  <c:v>0.39470051224986125</c:v>
                </c:pt>
                <c:pt idx="109">
                  <c:v>0.38355373549386584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76-411A-9872-C2F00376B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641320"/>
        <c:axId val="547642496"/>
      </c:scatterChart>
      <c:valAx>
        <c:axId val="54764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 voltage (rms)</a:t>
                </a:r>
              </a:p>
            </c:rich>
          </c:tx>
          <c:layout>
            <c:manualLayout>
              <c:xMode val="edge"/>
              <c:yMode val="edge"/>
              <c:x val="0.47649825021872266"/>
              <c:y val="0.924976669582968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42496"/>
        <c:crosses val="autoZero"/>
        <c:crossBetween val="midCat"/>
      </c:valAx>
      <c:valAx>
        <c:axId val="5476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  <a:r>
                  <a:rPr lang="en-US" baseline="0"/>
                  <a:t> --&gt; phase --&gt; reatdance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41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977690288713909"/>
          <c:y val="0.16782298046077571"/>
          <c:w val="0.2602230971128609"/>
          <c:h val="0.1574633597156944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Retardance</a:t>
            </a:r>
            <a:r>
              <a:rPr lang="en-US" baseline="0"/>
              <a:t> vs RMS Driving Voltage</a:t>
            </a:r>
          </a:p>
          <a:p>
            <a:pPr>
              <a:defRPr/>
            </a:pPr>
            <a:r>
              <a:rPr lang="en-US" baseline="0"/>
              <a:t>@ 532nm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532nm'!$Q$1</c:f>
              <c:strCache>
                <c:ptCount val="1"/>
                <c:pt idx="0">
                  <c:v>d (waves)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532nm'!$P$2:$P$111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532nm'!$Q$2:$Q$111</c:f>
              <c:numCache>
                <c:formatCode>General</c:formatCode>
                <c:ptCount val="110"/>
                <c:pt idx="0">
                  <c:v>0.97552195145936282</c:v>
                </c:pt>
                <c:pt idx="1">
                  <c:v>0.97552195145936282</c:v>
                </c:pt>
                <c:pt idx="2">
                  <c:v>0.97552195145936282</c:v>
                </c:pt>
                <c:pt idx="3">
                  <c:v>0.97553030655735162</c:v>
                </c:pt>
                <c:pt idx="4">
                  <c:v>0.97513797477138564</c:v>
                </c:pt>
                <c:pt idx="5">
                  <c:v>0.97513797477138564</c:v>
                </c:pt>
                <c:pt idx="6">
                  <c:v>0.97475168978296878</c:v>
                </c:pt>
                <c:pt idx="7">
                  <c:v>0.97475168978296878</c:v>
                </c:pt>
                <c:pt idx="8">
                  <c:v>0.97437117815866237</c:v>
                </c:pt>
                <c:pt idx="9">
                  <c:v>0.97399618643922348</c:v>
                </c:pt>
                <c:pt idx="10">
                  <c:v>0.97325270392658225</c:v>
                </c:pt>
                <c:pt idx="11">
                  <c:v>0.97184040685003037</c:v>
                </c:pt>
                <c:pt idx="12">
                  <c:v>0.96984449737561629</c:v>
                </c:pt>
                <c:pt idx="13">
                  <c:v>0.96647776487116888</c:v>
                </c:pt>
                <c:pt idx="14">
                  <c:v>0.96036919234894591</c:v>
                </c:pt>
                <c:pt idx="15">
                  <c:v>0.95030238555160573</c:v>
                </c:pt>
                <c:pt idx="16">
                  <c:v>0.93561251490513087</c:v>
                </c:pt>
                <c:pt idx="17">
                  <c:v>0.91725635080822598</c:v>
                </c:pt>
                <c:pt idx="18">
                  <c:v>0.89602928276256033</c:v>
                </c:pt>
                <c:pt idx="19">
                  <c:v>0.87288220052182652</c:v>
                </c:pt>
                <c:pt idx="20">
                  <c:v>0.84843779300226863</c:v>
                </c:pt>
                <c:pt idx="21">
                  <c:v>0.82323399814292142</c:v>
                </c:pt>
                <c:pt idx="22">
                  <c:v>0.79726046503749171</c:v>
                </c:pt>
                <c:pt idx="23">
                  <c:v>0.77112604414801467</c:v>
                </c:pt>
                <c:pt idx="24">
                  <c:v>0.74489028402851687</c:v>
                </c:pt>
                <c:pt idx="25">
                  <c:v>0.71876096723383098</c:v>
                </c:pt>
                <c:pt idx="26">
                  <c:v>0.69281555848484255</c:v>
                </c:pt>
                <c:pt idx="27">
                  <c:v>0.66722329410060466</c:v>
                </c:pt>
                <c:pt idx="28">
                  <c:v>0.64240115260511299</c:v>
                </c:pt>
                <c:pt idx="29">
                  <c:v>0.61822198946467988</c:v>
                </c:pt>
                <c:pt idx="30">
                  <c:v>0.59497068399413344</c:v>
                </c:pt>
                <c:pt idx="31">
                  <c:v>0.57240188934876002</c:v>
                </c:pt>
                <c:pt idx="32">
                  <c:v>0.55077949560416195</c:v>
                </c:pt>
                <c:pt idx="33">
                  <c:v>0.52956573444430233</c:v>
                </c:pt>
                <c:pt idx="34">
                  <c:v>0.50762359672816226</c:v>
                </c:pt>
                <c:pt idx="35">
                  <c:v>0.5</c:v>
                </c:pt>
                <c:pt idx="36">
                  <c:v>0.47569446781003055</c:v>
                </c:pt>
                <c:pt idx="37">
                  <c:v>0.45766983291455338</c:v>
                </c:pt>
                <c:pt idx="38">
                  <c:v>0.44093034455455343</c:v>
                </c:pt>
                <c:pt idx="39">
                  <c:v>0.42503067499483782</c:v>
                </c:pt>
                <c:pt idx="40">
                  <c:v>0.41023532641780952</c:v>
                </c:pt>
                <c:pt idx="41">
                  <c:v>0.39634683070469279</c:v>
                </c:pt>
                <c:pt idx="42">
                  <c:v>0.38316634975786196</c:v>
                </c:pt>
                <c:pt idx="43">
                  <c:v>0.37059612427749217</c:v>
                </c:pt>
                <c:pt idx="44">
                  <c:v>0.35858952001730549</c:v>
                </c:pt>
                <c:pt idx="45">
                  <c:v>0.34727894628516637</c:v>
                </c:pt>
                <c:pt idx="46">
                  <c:v>0.33650654391191992</c:v>
                </c:pt>
                <c:pt idx="47">
                  <c:v>0.3262271806432972</c:v>
                </c:pt>
                <c:pt idx="48">
                  <c:v>0.31661563475008414</c:v>
                </c:pt>
                <c:pt idx="49">
                  <c:v>0.30738630643858583</c:v>
                </c:pt>
                <c:pt idx="50">
                  <c:v>0.29873833218003243</c:v>
                </c:pt>
                <c:pt idx="51">
                  <c:v>0.29042557879692188</c:v>
                </c:pt>
                <c:pt idx="52">
                  <c:v>0.28247319725947162</c:v>
                </c:pt>
                <c:pt idx="53">
                  <c:v>0.27497261713649285</c:v>
                </c:pt>
                <c:pt idx="54">
                  <c:v>0.26783436985652315</c:v>
                </c:pt>
                <c:pt idx="55">
                  <c:v>0.26103759239698943</c:v>
                </c:pt>
                <c:pt idx="56">
                  <c:v>0.25462693080153564</c:v>
                </c:pt>
                <c:pt idx="57">
                  <c:v>0.24846769119789955</c:v>
                </c:pt>
                <c:pt idx="58">
                  <c:v>0.24255033418928199</c:v>
                </c:pt>
                <c:pt idx="59">
                  <c:v>0.23692858267438807</c:v>
                </c:pt>
                <c:pt idx="60">
                  <c:v>0.23153600544662378</c:v>
                </c:pt>
                <c:pt idx="61">
                  <c:v>0.22655363300374773</c:v>
                </c:pt>
                <c:pt idx="62">
                  <c:v>0.22167191530143107</c:v>
                </c:pt>
                <c:pt idx="63">
                  <c:v>0.21722570718108128</c:v>
                </c:pt>
                <c:pt idx="64">
                  <c:v>0.21280999686023727</c:v>
                </c:pt>
                <c:pt idx="65">
                  <c:v>0.20859090891234985</c:v>
                </c:pt>
                <c:pt idx="66">
                  <c:v>0.20453277515729695</c:v>
                </c:pt>
                <c:pt idx="67">
                  <c:v>0.20063640568236096</c:v>
                </c:pt>
                <c:pt idx="68">
                  <c:v>0.19690312192975615</c:v>
                </c:pt>
                <c:pt idx="69">
                  <c:v>0.19326956169323747</c:v>
                </c:pt>
                <c:pt idx="70">
                  <c:v>0.18986769801142225</c:v>
                </c:pt>
                <c:pt idx="71">
                  <c:v>0.18656924899040275</c:v>
                </c:pt>
                <c:pt idx="72">
                  <c:v>0.18337544062123554</c:v>
                </c:pt>
                <c:pt idx="73">
                  <c:v>0.1802243808922587</c:v>
                </c:pt>
                <c:pt idx="74">
                  <c:v>0.17737601059445005</c:v>
                </c:pt>
                <c:pt idx="75">
                  <c:v>0.17450239155605951</c:v>
                </c:pt>
                <c:pt idx="76">
                  <c:v>0.17167126281595252</c:v>
                </c:pt>
                <c:pt idx="77">
                  <c:v>0.16908729913702492</c:v>
                </c:pt>
                <c:pt idx="78">
                  <c:v>0.16642055914229606</c:v>
                </c:pt>
                <c:pt idx="79">
                  <c:v>0.16393591960901621</c:v>
                </c:pt>
                <c:pt idx="80">
                  <c:v>0.15918555954897942</c:v>
                </c:pt>
                <c:pt idx="81">
                  <c:v>0.1546387219495661</c:v>
                </c:pt>
                <c:pt idx="82">
                  <c:v>0.15054701430754919</c:v>
                </c:pt>
                <c:pt idx="83">
                  <c:v>0.14658261337179096</c:v>
                </c:pt>
                <c:pt idx="84">
                  <c:v>0.14277702816717694</c:v>
                </c:pt>
                <c:pt idx="85">
                  <c:v>0.13929682883777209</c:v>
                </c:pt>
                <c:pt idx="86">
                  <c:v>0.13588312376421061</c:v>
                </c:pt>
                <c:pt idx="87">
                  <c:v>0.13263398155690773</c:v>
                </c:pt>
                <c:pt idx="88">
                  <c:v>0.12962810870520303</c:v>
                </c:pt>
                <c:pt idx="89">
                  <c:v>0.12664703716719905</c:v>
                </c:pt>
                <c:pt idx="90">
                  <c:v>0.11999991726354781</c:v>
                </c:pt>
                <c:pt idx="91">
                  <c:v>0.1140711793219739</c:v>
                </c:pt>
                <c:pt idx="92">
                  <c:v>0.1086554178883581</c:v>
                </c:pt>
                <c:pt idx="93">
                  <c:v>0.10381187782453151</c:v>
                </c:pt>
                <c:pt idx="94">
                  <c:v>9.9396664916699767E-2</c:v>
                </c:pt>
                <c:pt idx="95">
                  <c:v>9.534840088407405E-2</c:v>
                </c:pt>
                <c:pt idx="96">
                  <c:v>9.1593998886129346E-2</c:v>
                </c:pt>
                <c:pt idx="97">
                  <c:v>8.8164144778813847E-2</c:v>
                </c:pt>
                <c:pt idx="98">
                  <c:v>8.49717711581955E-2</c:v>
                </c:pt>
                <c:pt idx="99">
                  <c:v>8.2040323788159245E-2</c:v>
                </c:pt>
                <c:pt idx="100">
                  <c:v>7.9266845772188177E-2</c:v>
                </c:pt>
                <c:pt idx="101">
                  <c:v>7.6797997799187112E-2</c:v>
                </c:pt>
                <c:pt idx="102">
                  <c:v>7.4389677737671564E-2</c:v>
                </c:pt>
                <c:pt idx="103">
                  <c:v>7.2046894961370317E-2</c:v>
                </c:pt>
                <c:pt idx="104">
                  <c:v>7.0062943275160675E-2</c:v>
                </c:pt>
                <c:pt idx="105">
                  <c:v>6.7877281399762429E-2</c:v>
                </c:pt>
                <c:pt idx="106">
                  <c:v>6.6231535932571292E-2</c:v>
                </c:pt>
                <c:pt idx="107">
                  <c:v>6.4391087710813935E-2</c:v>
                </c:pt>
                <c:pt idx="108">
                  <c:v>6.281853756546861E-2</c:v>
                </c:pt>
                <c:pt idx="109">
                  <c:v>6.10444729452101E-2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70-4320-9552-6CF690718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641712"/>
        <c:axId val="547642104"/>
      </c:scatterChart>
      <c:valAx>
        <c:axId val="54764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Square</a:t>
                </a:r>
                <a:r>
                  <a:rPr lang="en-US" baseline="0"/>
                  <a:t> Wave Amplitude, </a:t>
                </a:r>
                <a:r>
                  <a:rPr lang="en-US" i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baseline="0"/>
                  <a:t> (Vrms)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42104"/>
        <c:crosses val="autoZero"/>
        <c:crossBetween val="midCat"/>
      </c:valAx>
      <c:valAx>
        <c:axId val="54764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retaradnace, </a:t>
                </a:r>
                <a:r>
                  <a:rPr lang="en-US" i="1">
                    <a:latin typeface="Symbol" panose="05050102010706020507" pitchFamily="18" charset="2"/>
                  </a:rPr>
                  <a:t>d</a:t>
                </a:r>
                <a:r>
                  <a:rPr lang="en-US"/>
                  <a:t>  (waves)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66485491396908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4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'LCVR 407'!$B$1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'LCVR 407'!$A$2:$A$111</c:f>
              <c:numCache>
                <c:formatCode>General</c:formatCode>
                <c:ptCount val="11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8.5999999999999854</c:v>
                </c:pt>
                <c:pt idx="86">
                  <c:v>8.6999999999999851</c:v>
                </c:pt>
                <c:pt idx="87">
                  <c:v>8.7999999999999847</c:v>
                </c:pt>
                <c:pt idx="88">
                  <c:v>8.8999999999999844</c:v>
                </c:pt>
                <c:pt idx="89">
                  <c:v>8.999999999999984</c:v>
                </c:pt>
                <c:pt idx="90">
                  <c:v>9.499999999999984</c:v>
                </c:pt>
                <c:pt idx="91">
                  <c:v>9.999999999999984</c:v>
                </c:pt>
                <c:pt idx="92">
                  <c:v>10.499999999999984</c:v>
                </c:pt>
                <c:pt idx="93">
                  <c:v>10.999999999999984</c:v>
                </c:pt>
                <c:pt idx="94">
                  <c:v>11.499999999999984</c:v>
                </c:pt>
                <c:pt idx="95">
                  <c:v>11.999999999999984</c:v>
                </c:pt>
                <c:pt idx="96">
                  <c:v>12.499999999999984</c:v>
                </c:pt>
                <c:pt idx="97">
                  <c:v>12.999999999999984</c:v>
                </c:pt>
                <c:pt idx="98">
                  <c:v>13.499999999999984</c:v>
                </c:pt>
                <c:pt idx="99">
                  <c:v>13.999999999999984</c:v>
                </c:pt>
                <c:pt idx="100">
                  <c:v>14.499999999999984</c:v>
                </c:pt>
                <c:pt idx="101">
                  <c:v>14.999999999999984</c:v>
                </c:pt>
                <c:pt idx="102">
                  <c:v>15.499999999999984</c:v>
                </c:pt>
                <c:pt idx="103">
                  <c:v>15.999999999999984</c:v>
                </c:pt>
                <c:pt idx="104">
                  <c:v>16.499999999999986</c:v>
                </c:pt>
                <c:pt idx="105">
                  <c:v>16.999999999999986</c:v>
                </c:pt>
                <c:pt idx="106">
                  <c:v>17.499999999999986</c:v>
                </c:pt>
                <c:pt idx="107">
                  <c:v>17.999999999999986</c:v>
                </c:pt>
                <c:pt idx="108">
                  <c:v>18.499999999999986</c:v>
                </c:pt>
                <c:pt idx="109">
                  <c:v>18.999999999999986</c:v>
                </c:pt>
              </c:numCache>
            </c:numRef>
          </c:xVal>
          <c:yVal>
            <c:numRef>
              <c:f>'LCVR 407'!$B$2:$B$111</c:f>
              <c:numCache>
                <c:formatCode>General</c:formatCode>
                <c:ptCount val="110"/>
                <c:pt idx="0">
                  <c:v>87.17</c:v>
                </c:pt>
                <c:pt idx="1">
                  <c:v>87.43</c:v>
                </c:pt>
                <c:pt idx="2">
                  <c:v>87.46</c:v>
                </c:pt>
                <c:pt idx="3">
                  <c:v>87.55</c:v>
                </c:pt>
                <c:pt idx="4">
                  <c:v>87.64</c:v>
                </c:pt>
                <c:pt idx="5">
                  <c:v>87.95</c:v>
                </c:pt>
                <c:pt idx="6">
                  <c:v>88.75</c:v>
                </c:pt>
                <c:pt idx="7">
                  <c:v>89.76</c:v>
                </c:pt>
                <c:pt idx="8">
                  <c:v>90.1</c:v>
                </c:pt>
                <c:pt idx="9">
                  <c:v>90.15</c:v>
                </c:pt>
                <c:pt idx="10">
                  <c:v>90.5</c:v>
                </c:pt>
                <c:pt idx="11">
                  <c:v>90.6</c:v>
                </c:pt>
                <c:pt idx="12">
                  <c:v>90.81</c:v>
                </c:pt>
                <c:pt idx="13">
                  <c:v>91</c:v>
                </c:pt>
                <c:pt idx="14">
                  <c:v>91.75</c:v>
                </c:pt>
                <c:pt idx="15">
                  <c:v>91.52</c:v>
                </c:pt>
                <c:pt idx="16">
                  <c:v>90.2</c:v>
                </c:pt>
                <c:pt idx="17">
                  <c:v>86.95</c:v>
                </c:pt>
                <c:pt idx="18">
                  <c:v>81.27</c:v>
                </c:pt>
                <c:pt idx="19">
                  <c:v>73.09</c:v>
                </c:pt>
                <c:pt idx="20">
                  <c:v>62.97</c:v>
                </c:pt>
                <c:pt idx="21">
                  <c:v>51.94</c:v>
                </c:pt>
                <c:pt idx="22">
                  <c:v>40.68</c:v>
                </c:pt>
                <c:pt idx="23">
                  <c:v>29.84</c:v>
                </c:pt>
                <c:pt idx="24">
                  <c:v>20.079999999999998</c:v>
                </c:pt>
                <c:pt idx="25">
                  <c:v>11.71</c:v>
                </c:pt>
                <c:pt idx="26">
                  <c:v>5.32</c:v>
                </c:pt>
                <c:pt idx="27">
                  <c:v>1.4</c:v>
                </c:pt>
                <c:pt idx="28">
                  <c:v>0.21</c:v>
                </c:pt>
                <c:pt idx="29">
                  <c:v>1.79</c:v>
                </c:pt>
                <c:pt idx="30">
                  <c:v>5.78</c:v>
                </c:pt>
                <c:pt idx="31">
                  <c:v>11.69</c:v>
                </c:pt>
                <c:pt idx="32">
                  <c:v>18.850000000000001</c:v>
                </c:pt>
                <c:pt idx="33">
                  <c:v>26.72</c:v>
                </c:pt>
                <c:pt idx="34">
                  <c:v>34.83</c:v>
                </c:pt>
                <c:pt idx="35">
                  <c:v>42.87</c:v>
                </c:pt>
                <c:pt idx="36">
                  <c:v>50.61</c:v>
                </c:pt>
                <c:pt idx="37">
                  <c:v>57.9</c:v>
                </c:pt>
                <c:pt idx="38">
                  <c:v>64.64</c:v>
                </c:pt>
                <c:pt idx="39">
                  <c:v>70.760000000000005</c:v>
                </c:pt>
                <c:pt idx="40">
                  <c:v>76.099999999999994</c:v>
                </c:pt>
                <c:pt idx="41">
                  <c:v>80.72</c:v>
                </c:pt>
                <c:pt idx="42">
                  <c:v>84.62</c:v>
                </c:pt>
                <c:pt idx="43">
                  <c:v>87.72</c:v>
                </c:pt>
                <c:pt idx="44">
                  <c:v>90.1</c:v>
                </c:pt>
                <c:pt idx="45">
                  <c:v>91.72</c:v>
                </c:pt>
                <c:pt idx="46">
                  <c:v>92.68</c:v>
                </c:pt>
                <c:pt idx="47">
                  <c:v>93.05</c:v>
                </c:pt>
                <c:pt idx="48">
                  <c:v>92.86</c:v>
                </c:pt>
                <c:pt idx="49">
                  <c:v>92.25</c:v>
                </c:pt>
                <c:pt idx="50">
                  <c:v>91.26</c:v>
                </c:pt>
                <c:pt idx="51">
                  <c:v>89.99</c:v>
                </c:pt>
                <c:pt idx="52">
                  <c:v>88.45</c:v>
                </c:pt>
                <c:pt idx="53">
                  <c:v>86.75</c:v>
                </c:pt>
                <c:pt idx="54">
                  <c:v>84.87</c:v>
                </c:pt>
                <c:pt idx="55">
                  <c:v>82.95</c:v>
                </c:pt>
                <c:pt idx="56">
                  <c:v>80.959999999999994</c:v>
                </c:pt>
                <c:pt idx="57">
                  <c:v>78.930000000000007</c:v>
                </c:pt>
                <c:pt idx="58">
                  <c:v>76.900000000000006</c:v>
                </c:pt>
                <c:pt idx="59">
                  <c:v>74.87</c:v>
                </c:pt>
                <c:pt idx="60">
                  <c:v>72.84</c:v>
                </c:pt>
                <c:pt idx="61">
                  <c:v>70.900000000000006</c:v>
                </c:pt>
                <c:pt idx="62">
                  <c:v>69.08</c:v>
                </c:pt>
                <c:pt idx="63">
                  <c:v>67.28</c:v>
                </c:pt>
                <c:pt idx="64">
                  <c:v>65.489999999999995</c:v>
                </c:pt>
                <c:pt idx="65">
                  <c:v>63.85</c:v>
                </c:pt>
                <c:pt idx="66">
                  <c:v>62.19</c:v>
                </c:pt>
                <c:pt idx="67">
                  <c:v>60.65</c:v>
                </c:pt>
                <c:pt idx="68">
                  <c:v>59.1</c:v>
                </c:pt>
                <c:pt idx="69">
                  <c:v>57.62</c:v>
                </c:pt>
                <c:pt idx="70">
                  <c:v>56.19</c:v>
                </c:pt>
                <c:pt idx="71">
                  <c:v>54.79</c:v>
                </c:pt>
                <c:pt idx="72">
                  <c:v>53.47</c:v>
                </c:pt>
                <c:pt idx="73">
                  <c:v>52.15</c:v>
                </c:pt>
                <c:pt idx="74">
                  <c:v>50.96</c:v>
                </c:pt>
                <c:pt idx="75">
                  <c:v>49.8</c:v>
                </c:pt>
                <c:pt idx="76">
                  <c:v>48.59</c:v>
                </c:pt>
                <c:pt idx="77">
                  <c:v>47.48</c:v>
                </c:pt>
                <c:pt idx="78">
                  <c:v>46.38</c:v>
                </c:pt>
                <c:pt idx="79">
                  <c:v>45.29</c:v>
                </c:pt>
                <c:pt idx="80">
                  <c:v>44.28</c:v>
                </c:pt>
                <c:pt idx="81">
                  <c:v>43.25</c:v>
                </c:pt>
                <c:pt idx="82">
                  <c:v>42.27</c:v>
                </c:pt>
                <c:pt idx="83">
                  <c:v>41.34</c:v>
                </c:pt>
                <c:pt idx="84">
                  <c:v>40.44</c:v>
                </c:pt>
                <c:pt idx="85">
                  <c:v>39.57</c:v>
                </c:pt>
                <c:pt idx="86">
                  <c:v>38.72</c:v>
                </c:pt>
                <c:pt idx="87">
                  <c:v>37.86</c:v>
                </c:pt>
                <c:pt idx="88">
                  <c:v>37.08</c:v>
                </c:pt>
                <c:pt idx="89">
                  <c:v>36.92</c:v>
                </c:pt>
                <c:pt idx="90">
                  <c:v>32.69</c:v>
                </c:pt>
                <c:pt idx="91">
                  <c:v>29.56</c:v>
                </c:pt>
                <c:pt idx="92">
                  <c:v>26.89</c:v>
                </c:pt>
                <c:pt idx="93">
                  <c:v>24.54</c:v>
                </c:pt>
                <c:pt idx="94">
                  <c:v>22.46</c:v>
                </c:pt>
                <c:pt idx="95">
                  <c:v>20.66</c:v>
                </c:pt>
                <c:pt idx="96">
                  <c:v>19.05</c:v>
                </c:pt>
                <c:pt idx="97">
                  <c:v>17.600000000000001</c:v>
                </c:pt>
                <c:pt idx="98">
                  <c:v>16.32</c:v>
                </c:pt>
                <c:pt idx="99">
                  <c:v>15.15</c:v>
                </c:pt>
                <c:pt idx="100">
                  <c:v>14.11</c:v>
                </c:pt>
                <c:pt idx="101">
                  <c:v>13.18</c:v>
                </c:pt>
                <c:pt idx="102">
                  <c:v>12.33</c:v>
                </c:pt>
                <c:pt idx="103">
                  <c:v>11.57</c:v>
                </c:pt>
                <c:pt idx="104">
                  <c:v>10.86</c:v>
                </c:pt>
                <c:pt idx="105">
                  <c:v>10.220000000000001</c:v>
                </c:pt>
                <c:pt idx="106">
                  <c:v>9.64</c:v>
                </c:pt>
                <c:pt idx="107">
                  <c:v>9.09</c:v>
                </c:pt>
                <c:pt idx="108">
                  <c:v>8.61</c:v>
                </c:pt>
                <c:pt idx="109">
                  <c:v>8.15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F-422D-A63F-089F3251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597368"/>
        <c:axId val="537598152"/>
      </c:scatterChart>
      <c:valAx>
        <c:axId val="537597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98152"/>
        <c:crosses val="autoZero"/>
        <c:crossBetween val="midCat"/>
      </c:valAx>
      <c:valAx>
        <c:axId val="53759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597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tricky - 2 phase corrections at 405nm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5.0925925925925923E-2"/>
          <c:w val="0.88059864391951026"/>
          <c:h val="0.8555635753864100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'LCVR 407'!$J$1</c:f>
              <c:strCache>
                <c:ptCount val="1"/>
                <c:pt idx="0">
                  <c:v>f (rad)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'LCVR 407'!$G$2:$G$113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'LCVR 407'!$J$2:$J$113</c:f>
              <c:numCache>
                <c:formatCode>General</c:formatCode>
                <c:ptCount val="112"/>
                <c:pt idx="0">
                  <c:v>2.6237012789121743</c:v>
                </c:pt>
                <c:pt idx="1">
                  <c:v>2.6350749804390619</c:v>
                </c:pt>
                <c:pt idx="2">
                  <c:v>2.6364023424884282</c:v>
                </c:pt>
                <c:pt idx="3">
                  <c:v>2.6404036913904996</c:v>
                </c:pt>
                <c:pt idx="4">
                  <c:v>2.6444344812304865</c:v>
                </c:pt>
                <c:pt idx="5">
                  <c:v>2.6585540116597919</c:v>
                </c:pt>
                <c:pt idx="6">
                  <c:v>2.7006479237384933</c:v>
                </c:pt>
                <c:pt idx="7">
                  <c:v>2.7588711258689282</c:v>
                </c:pt>
                <c:pt idx="8">
                  <c:v>2.7789241242840492</c:v>
                </c:pt>
                <c:pt idx="9">
                  <c:v>2.7819629899096716</c:v>
                </c:pt>
                <c:pt idx="10">
                  <c:v>2.8089746531529203</c:v>
                </c:pt>
                <c:pt idx="11">
                  <c:v>2.8156213688538392</c:v>
                </c:pt>
                <c:pt idx="12">
                  <c:v>2.8300239182998346</c:v>
                </c:pt>
                <c:pt idx="13">
                  <c:v>2.8436336954356283</c:v>
                </c:pt>
                <c:pt idx="14">
                  <c:v>2.9046408835835642</c:v>
                </c:pt>
                <c:pt idx="15">
                  <c:v>2.8844258356176078</c:v>
                </c:pt>
                <c:pt idx="16">
                  <c:v>2.7897596770199966</c:v>
                </c:pt>
                <c:pt idx="17">
                  <c:v>2.6237471572918656</c:v>
                </c:pt>
                <c:pt idx="18">
                  <c:v>2.4140378408750371</c:v>
                </c:pt>
                <c:pt idx="19">
                  <c:v>2.1784994770011119</c:v>
                </c:pt>
                <c:pt idx="20">
                  <c:v>1.9320698980565869</c:v>
                </c:pt>
                <c:pt idx="21">
                  <c:v>1.6874497554024397</c:v>
                </c:pt>
                <c:pt idx="22">
                  <c:v>1.4448320978615234</c:v>
                </c:pt>
                <c:pt idx="23">
                  <c:v>1.2040024786030312</c:v>
                </c:pt>
                <c:pt idx="24">
                  <c:v>0.96623150937758495</c:v>
                </c:pt>
                <c:pt idx="25">
                  <c:v>0.72528957727223742</c:v>
                </c:pt>
                <c:pt idx="26">
                  <c:v>0.48289819195738781</c:v>
                </c:pt>
                <c:pt idx="27">
                  <c:v>0.2459409947544855</c:v>
                </c:pt>
                <c:pt idx="28">
                  <c:v>9.5048429638705967E-2</c:v>
                </c:pt>
                <c:pt idx="29">
                  <c:v>0.27829196522109156</c:v>
                </c:pt>
                <c:pt idx="30">
                  <c:v>0.50377658343762999</c:v>
                </c:pt>
                <c:pt idx="31">
                  <c:v>0.72464130369182467</c:v>
                </c:pt>
                <c:pt idx="32">
                  <c:v>0.93372789134387313</c:v>
                </c:pt>
                <c:pt idx="33">
                  <c:v>1.131077434552086</c:v>
                </c:pt>
                <c:pt idx="34">
                  <c:v>1.3167006439857529</c:v>
                </c:pt>
                <c:pt idx="35">
                  <c:v>1.4921553800054659</c:v>
                </c:pt>
                <c:pt idx="36">
                  <c:v>1.6587117915477934</c:v>
                </c:pt>
                <c:pt idx="37">
                  <c:v>1.8177923000436202</c:v>
                </c:pt>
                <c:pt idx="38">
                  <c:v>1.9707335918583182</c:v>
                </c:pt>
                <c:pt idx="39">
                  <c:v>2.1187044852867802</c:v>
                </c:pt>
                <c:pt idx="40">
                  <c:v>2.2596850765777114</c:v>
                </c:pt>
                <c:pt idx="41">
                  <c:v>2.3964352718677233</c:v>
                </c:pt>
                <c:pt idx="42">
                  <c:v>2.5301262691175452</c:v>
                </c:pt>
                <c:pt idx="43">
                  <c:v>2.6582317839498844</c:v>
                </c:pt>
                <c:pt idx="44">
                  <c:v>2.7835747590287161</c:v>
                </c:pt>
                <c:pt idx="45">
                  <c:v>2.9019094047245044</c:v>
                </c:pt>
                <c:pt idx="46">
                  <c:v>3.0153922023320767</c:v>
                </c:pt>
                <c:pt idx="47">
                  <c:v>3.1415926535897931</c:v>
                </c:pt>
                <c:pt idx="48">
                  <c:v>3.0511868071334503</c:v>
                </c:pt>
                <c:pt idx="49">
                  <c:v>2.9558801770908443</c:v>
                </c:pt>
                <c:pt idx="50">
                  <c:v>2.8694225083566205</c:v>
                </c:pt>
                <c:pt idx="51">
                  <c:v>2.7768873413427753</c:v>
                </c:pt>
                <c:pt idx="52">
                  <c:v>2.6931615865263856</c:v>
                </c:pt>
                <c:pt idx="53">
                  <c:v>2.6151280405473907</c:v>
                </c:pt>
                <c:pt idx="54">
                  <c:v>2.539550040938138</c:v>
                </c:pt>
                <c:pt idx="55">
                  <c:v>2.4701297947320251</c:v>
                </c:pt>
                <c:pt idx="56">
                  <c:v>2.4040744228333089</c:v>
                </c:pt>
                <c:pt idx="57">
                  <c:v>2.3413146490327632</c:v>
                </c:pt>
                <c:pt idx="58">
                  <c:v>2.2821698698431261</c:v>
                </c:pt>
                <c:pt idx="59">
                  <c:v>2.2276235033421106</c:v>
                </c:pt>
                <c:pt idx="60">
                  <c:v>2.1735800645127545</c:v>
                </c:pt>
                <c:pt idx="61">
                  <c:v>2.1237516420634015</c:v>
                </c:pt>
                <c:pt idx="62">
                  <c:v>2.0783634089315011</c:v>
                </c:pt>
                <c:pt idx="63">
                  <c:v>2.034574974848649</c:v>
                </c:pt>
                <c:pt idx="64">
                  <c:v>1.9919616559581024</c:v>
                </c:pt>
                <c:pt idx="65">
                  <c:v>1.9536234806269206</c:v>
                </c:pt>
                <c:pt idx="66">
                  <c:v>1.9154114526125927</c:v>
                </c:pt>
                <c:pt idx="67">
                  <c:v>1.8804259548612947</c:v>
                </c:pt>
                <c:pt idx="68">
                  <c:v>1.8456044020350304</c:v>
                </c:pt>
                <c:pt idx="69">
                  <c:v>1.812672271194725</c:v>
                </c:pt>
                <c:pt idx="70">
                  <c:v>1.7811053765420879</c:v>
                </c:pt>
                <c:pt idx="71">
                  <c:v>1.7504057350794369</c:v>
                </c:pt>
                <c:pt idx="72">
                  <c:v>1.7216168292328462</c:v>
                </c:pt>
                <c:pt idx="73">
                  <c:v>1.6929533755279957</c:v>
                </c:pt>
                <c:pt idx="74">
                  <c:v>1.6671997029546477</c:v>
                </c:pt>
                <c:pt idx="75">
                  <c:v>1.6421570206666465</c:v>
                </c:pt>
                <c:pt idx="76">
                  <c:v>1.6160823660648274</c:v>
                </c:pt>
                <c:pt idx="77">
                  <c:v>1.5921901439334027</c:v>
                </c:pt>
                <c:pt idx="78">
                  <c:v>1.568525253856951</c:v>
                </c:pt>
                <c:pt idx="79">
                  <c:v>1.545901612301982</c:v>
                </c:pt>
                <c:pt idx="80">
                  <c:v>1.5241416445346343</c:v>
                </c:pt>
                <c:pt idx="81">
                  <c:v>1.5019279200276658</c:v>
                </c:pt>
                <c:pt idx="82">
                  <c:v>1.4807610459797014</c:v>
                </c:pt>
                <c:pt idx="83">
                  <c:v>1.4606367841063992</c:v>
                </c:pt>
                <c:pt idx="84">
                  <c:v>1.4411190264533136</c:v>
                </c:pt>
                <c:pt idx="85">
                  <c:v>1.4222045937270715</c:v>
                </c:pt>
                <c:pt idx="86">
                  <c:v>1.4036731529739552</c:v>
                </c:pt>
                <c:pt idx="87">
                  <c:v>1.3848645144681631</c:v>
                </c:pt>
                <c:pt idx="88">
                  <c:v>1.3677479559610104</c:v>
                </c:pt>
                <c:pt idx="89">
                  <c:v>1.3642295704059848</c:v>
                </c:pt>
                <c:pt idx="90">
                  <c:v>1.2701118095253716</c:v>
                </c:pt>
                <c:pt idx="91">
                  <c:v>1.1987055161536744</c:v>
                </c:pt>
                <c:pt idx="92">
                  <c:v>1.1361938185998475</c:v>
                </c:pt>
                <c:pt idx="93">
                  <c:v>1.0796396702077975</c:v>
                </c:pt>
                <c:pt idx="94">
                  <c:v>1.0281205569353875</c:v>
                </c:pt>
                <c:pt idx="95">
                  <c:v>0.98221246082603131</c:v>
                </c:pt>
                <c:pt idx="96">
                  <c:v>0.93992629398770133</c:v>
                </c:pt>
                <c:pt idx="97">
                  <c:v>0.9006936059807038</c:v>
                </c:pt>
                <c:pt idx="98">
                  <c:v>0.86501946786389161</c:v>
                </c:pt>
                <c:pt idx="99">
                  <c:v>0.83143550030010216</c:v>
                </c:pt>
                <c:pt idx="100">
                  <c:v>0.80069596006048505</c:v>
                </c:pt>
                <c:pt idx="101">
                  <c:v>0.77241060225354174</c:v>
                </c:pt>
                <c:pt idx="102">
                  <c:v>0.74582069639563431</c:v>
                </c:pt>
                <c:pt idx="103">
                  <c:v>0.7213811799800689</c:v>
                </c:pt>
                <c:pt idx="104">
                  <c:v>0.69791953198274514</c:v>
                </c:pt>
                <c:pt idx="105">
                  <c:v>0.67619409906519312</c:v>
                </c:pt>
                <c:pt idx="106">
                  <c:v>0.6559845653921812</c:v>
                </c:pt>
                <c:pt idx="107">
                  <c:v>0.63631754706704602</c:v>
                </c:pt>
                <c:pt idx="108">
                  <c:v>0.61871570004708498</c:v>
                </c:pt>
                <c:pt idx="109">
                  <c:v>0.60142890447021957</c:v>
                </c:pt>
                <c:pt idx="110">
                  <c:v>0.58486615622634486</c:v>
                </c:pt>
                <c:pt idx="111">
                  <c:v>0.5698766995266582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F5-4F87-AD02-63761E6A33A5}"/>
            </c:ext>
          </c:extLst>
        </c:ser>
        <c:ser>
          <c:idx val="0"/>
          <c:order val="1"/>
          <c:tx>
            <c:strRef>
              <c:f>'LCVR 407'!$K$1</c:f>
              <c:strCache>
                <c:ptCount val="1"/>
                <c:pt idx="0">
                  <c:v>d with phase corr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407'!$G$2:$G$113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'LCVR 407'!$K$2:$K$113</c:f>
              <c:numCache>
                <c:formatCode>General</c:formatCode>
                <c:ptCount val="112"/>
                <c:pt idx="0">
                  <c:v>3.6594840282674119</c:v>
                </c:pt>
                <c:pt idx="1">
                  <c:v>3.6481103267405244</c:v>
                </c:pt>
                <c:pt idx="2">
                  <c:v>3.646782964691158</c:v>
                </c:pt>
                <c:pt idx="3">
                  <c:v>3.6427816157890867</c:v>
                </c:pt>
                <c:pt idx="4">
                  <c:v>3.6387508259490997</c:v>
                </c:pt>
                <c:pt idx="5">
                  <c:v>3.6246312955197943</c:v>
                </c:pt>
                <c:pt idx="6">
                  <c:v>3.582537383441093</c:v>
                </c:pt>
                <c:pt idx="7">
                  <c:v>3.524314181310658</c:v>
                </c:pt>
                <c:pt idx="8">
                  <c:v>3.504261182895537</c:v>
                </c:pt>
                <c:pt idx="9">
                  <c:v>3.5012223172699146</c:v>
                </c:pt>
                <c:pt idx="10">
                  <c:v>3.474210654026666</c:v>
                </c:pt>
                <c:pt idx="11">
                  <c:v>3.4675639383257471</c:v>
                </c:pt>
                <c:pt idx="12">
                  <c:v>3.4531613888797517</c:v>
                </c:pt>
                <c:pt idx="13">
                  <c:v>3.439551611743958</c:v>
                </c:pt>
                <c:pt idx="14">
                  <c:v>3.378544423596022</c:v>
                </c:pt>
                <c:pt idx="15">
                  <c:v>3.3987594715619784</c:v>
                </c:pt>
                <c:pt idx="16">
                  <c:v>3.4934256301595896</c:v>
                </c:pt>
                <c:pt idx="17">
                  <c:v>3.6594381498877206</c:v>
                </c:pt>
                <c:pt idx="18">
                  <c:v>3.8691474663045491</c:v>
                </c:pt>
                <c:pt idx="19">
                  <c:v>4.1046858301784743</c:v>
                </c:pt>
                <c:pt idx="20">
                  <c:v>4.3511154091229995</c:v>
                </c:pt>
                <c:pt idx="21">
                  <c:v>4.5957355517771461</c:v>
                </c:pt>
                <c:pt idx="22">
                  <c:v>4.838353209318063</c:v>
                </c:pt>
                <c:pt idx="23">
                  <c:v>5.0791828285765552</c:v>
                </c:pt>
                <c:pt idx="24">
                  <c:v>5.3169537978020012</c:v>
                </c:pt>
                <c:pt idx="25">
                  <c:v>5.557895729907349</c:v>
                </c:pt>
                <c:pt idx="26">
                  <c:v>5.8002871152221989</c:v>
                </c:pt>
                <c:pt idx="27">
                  <c:v>6.0372443124251003</c:v>
                </c:pt>
                <c:pt idx="28">
                  <c:v>6.18813687754088</c:v>
                </c:pt>
                <c:pt idx="29">
                  <c:v>6.0048933419584944</c:v>
                </c:pt>
                <c:pt idx="30">
                  <c:v>5.7794087237419562</c:v>
                </c:pt>
                <c:pt idx="31">
                  <c:v>5.5585440034877616</c:v>
                </c:pt>
                <c:pt idx="32">
                  <c:v>5.3494574158357135</c:v>
                </c:pt>
                <c:pt idx="33">
                  <c:v>5.1521078726275</c:v>
                </c:pt>
                <c:pt idx="34">
                  <c:v>4.9664846631938335</c:v>
                </c:pt>
                <c:pt idx="35">
                  <c:v>4.7910299271741206</c:v>
                </c:pt>
                <c:pt idx="36">
                  <c:v>4.6244735156317933</c:v>
                </c:pt>
                <c:pt idx="37">
                  <c:v>4.4653930071359662</c:v>
                </c:pt>
                <c:pt idx="38">
                  <c:v>4.3124517153212683</c:v>
                </c:pt>
                <c:pt idx="39">
                  <c:v>4.1644808218928056</c:v>
                </c:pt>
                <c:pt idx="40">
                  <c:v>4.0235002306018748</c:v>
                </c:pt>
                <c:pt idx="41">
                  <c:v>3.8867500353118629</c:v>
                </c:pt>
                <c:pt idx="42">
                  <c:v>3.753059038062041</c:v>
                </c:pt>
                <c:pt idx="43">
                  <c:v>3.6249535232297019</c:v>
                </c:pt>
                <c:pt idx="44">
                  <c:v>3.4996105481508701</c:v>
                </c:pt>
                <c:pt idx="45">
                  <c:v>3.3812759024550818</c:v>
                </c:pt>
                <c:pt idx="46">
                  <c:v>3.2677931048475095</c:v>
                </c:pt>
                <c:pt idx="47">
                  <c:v>3.1415926535897931</c:v>
                </c:pt>
                <c:pt idx="48">
                  <c:v>3.0511868071334503</c:v>
                </c:pt>
                <c:pt idx="49">
                  <c:v>2.9558801770908443</c:v>
                </c:pt>
                <c:pt idx="50">
                  <c:v>2.8694225083566205</c:v>
                </c:pt>
                <c:pt idx="51">
                  <c:v>2.7768873413427753</c:v>
                </c:pt>
                <c:pt idx="52">
                  <c:v>2.6931615865263856</c:v>
                </c:pt>
                <c:pt idx="53">
                  <c:v>2.6151280405473907</c:v>
                </c:pt>
                <c:pt idx="54">
                  <c:v>2.539550040938138</c:v>
                </c:pt>
                <c:pt idx="55">
                  <c:v>2.4701297947320251</c:v>
                </c:pt>
                <c:pt idx="56">
                  <c:v>2.4040744228333089</c:v>
                </c:pt>
                <c:pt idx="57">
                  <c:v>2.3413146490327632</c:v>
                </c:pt>
                <c:pt idx="58">
                  <c:v>2.2821698698431261</c:v>
                </c:pt>
                <c:pt idx="59">
                  <c:v>2.2276235033421106</c:v>
                </c:pt>
                <c:pt idx="60">
                  <c:v>2.1735800645127545</c:v>
                </c:pt>
                <c:pt idx="61">
                  <c:v>2.1237516420634015</c:v>
                </c:pt>
                <c:pt idx="62">
                  <c:v>2.0783634089315011</c:v>
                </c:pt>
                <c:pt idx="63">
                  <c:v>2.034574974848649</c:v>
                </c:pt>
                <c:pt idx="64">
                  <c:v>1.9919616559581024</c:v>
                </c:pt>
                <c:pt idx="65">
                  <c:v>1.9536234806269206</c:v>
                </c:pt>
                <c:pt idx="66">
                  <c:v>1.9154114526125927</c:v>
                </c:pt>
                <c:pt idx="67">
                  <c:v>1.8804259548612947</c:v>
                </c:pt>
                <c:pt idx="68">
                  <c:v>1.8456044020350304</c:v>
                </c:pt>
                <c:pt idx="69">
                  <c:v>1.812672271194725</c:v>
                </c:pt>
                <c:pt idx="70">
                  <c:v>1.7811053765420879</c:v>
                </c:pt>
                <c:pt idx="71">
                  <c:v>1.7504057350794369</c:v>
                </c:pt>
                <c:pt idx="72">
                  <c:v>1.7216168292328462</c:v>
                </c:pt>
                <c:pt idx="73">
                  <c:v>1.6929533755279957</c:v>
                </c:pt>
                <c:pt idx="74">
                  <c:v>1.6671997029546477</c:v>
                </c:pt>
                <c:pt idx="75">
                  <c:v>1.6421570206666465</c:v>
                </c:pt>
                <c:pt idx="76">
                  <c:v>1.6160823660648274</c:v>
                </c:pt>
                <c:pt idx="77">
                  <c:v>1.5921901439334027</c:v>
                </c:pt>
                <c:pt idx="78">
                  <c:v>1.568525253856951</c:v>
                </c:pt>
                <c:pt idx="79">
                  <c:v>1.545901612301982</c:v>
                </c:pt>
                <c:pt idx="80">
                  <c:v>1.5241416445346343</c:v>
                </c:pt>
                <c:pt idx="81">
                  <c:v>1.5019279200276658</c:v>
                </c:pt>
                <c:pt idx="82">
                  <c:v>1.4807610459797014</c:v>
                </c:pt>
                <c:pt idx="83">
                  <c:v>1.4606367841063992</c:v>
                </c:pt>
                <c:pt idx="84">
                  <c:v>1.4411190264533136</c:v>
                </c:pt>
                <c:pt idx="85">
                  <c:v>1.4222045937270715</c:v>
                </c:pt>
                <c:pt idx="86">
                  <c:v>1.4036731529739552</c:v>
                </c:pt>
                <c:pt idx="87">
                  <c:v>1.3848645144681631</c:v>
                </c:pt>
                <c:pt idx="88">
                  <c:v>1.3677479559610104</c:v>
                </c:pt>
                <c:pt idx="89">
                  <c:v>1.3642295704059848</c:v>
                </c:pt>
                <c:pt idx="90">
                  <c:v>1.2701118095253716</c:v>
                </c:pt>
                <c:pt idx="91">
                  <c:v>1.1987055161536744</c:v>
                </c:pt>
                <c:pt idx="92">
                  <c:v>1.1361938185998475</c:v>
                </c:pt>
                <c:pt idx="93">
                  <c:v>1.0796396702077975</c:v>
                </c:pt>
                <c:pt idx="94">
                  <c:v>1.0281205569353875</c:v>
                </c:pt>
                <c:pt idx="95">
                  <c:v>0.98221246082603131</c:v>
                </c:pt>
                <c:pt idx="96">
                  <c:v>0.93992629398770133</c:v>
                </c:pt>
                <c:pt idx="97">
                  <c:v>0.9006936059807038</c:v>
                </c:pt>
                <c:pt idx="98">
                  <c:v>0.86501946786389161</c:v>
                </c:pt>
                <c:pt idx="99">
                  <c:v>0.83143550030010216</c:v>
                </c:pt>
                <c:pt idx="100">
                  <c:v>0.80069596006048505</c:v>
                </c:pt>
                <c:pt idx="101">
                  <c:v>0.77241060225354174</c:v>
                </c:pt>
                <c:pt idx="102">
                  <c:v>0.74582069639563431</c:v>
                </c:pt>
                <c:pt idx="103">
                  <c:v>0.7213811799800689</c:v>
                </c:pt>
                <c:pt idx="104">
                  <c:v>0.69791953198274514</c:v>
                </c:pt>
                <c:pt idx="105">
                  <c:v>0.67619409906519312</c:v>
                </c:pt>
                <c:pt idx="106">
                  <c:v>0.6559845653921812</c:v>
                </c:pt>
                <c:pt idx="107">
                  <c:v>0.63631754706704602</c:v>
                </c:pt>
                <c:pt idx="108">
                  <c:v>0.61871570004708498</c:v>
                </c:pt>
                <c:pt idx="109">
                  <c:v>0.60142890447021957</c:v>
                </c:pt>
                <c:pt idx="110">
                  <c:v>0.58486615622634486</c:v>
                </c:pt>
                <c:pt idx="111">
                  <c:v>0.5698766995266582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F5-4F87-AD02-63761E6A33A5}"/>
            </c:ext>
          </c:extLst>
        </c:ser>
        <c:ser>
          <c:idx val="1"/>
          <c:order val="2"/>
          <c:tx>
            <c:strRef>
              <c:f>'LCVR 407'!$L$1</c:f>
              <c:strCache>
                <c:ptCount val="1"/>
                <c:pt idx="0">
                  <c:v>d with 2nd phase corr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'LCVR 407'!$G$2:$G$113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'LCVR 407'!$L$2:$L$113</c:f>
              <c:numCache>
                <c:formatCode>General</c:formatCode>
                <c:ptCount val="112"/>
                <c:pt idx="0">
                  <c:v>8.7167897268143477</c:v>
                </c:pt>
                <c:pt idx="1">
                  <c:v>8.7281634283412366</c:v>
                </c:pt>
                <c:pt idx="2">
                  <c:v>8.7294907903906029</c:v>
                </c:pt>
                <c:pt idx="3">
                  <c:v>8.7334921392926734</c:v>
                </c:pt>
                <c:pt idx="4">
                  <c:v>8.7375229291326608</c:v>
                </c:pt>
                <c:pt idx="5">
                  <c:v>8.7516424595619657</c:v>
                </c:pt>
                <c:pt idx="6">
                  <c:v>8.7937363716406676</c:v>
                </c:pt>
                <c:pt idx="7">
                  <c:v>8.8519595737711025</c:v>
                </c:pt>
                <c:pt idx="8">
                  <c:v>8.8720125721862235</c:v>
                </c:pt>
                <c:pt idx="9">
                  <c:v>8.8750514378118446</c:v>
                </c:pt>
                <c:pt idx="10">
                  <c:v>8.902063101055095</c:v>
                </c:pt>
                <c:pt idx="11">
                  <c:v>8.9087098167560121</c:v>
                </c:pt>
                <c:pt idx="12">
                  <c:v>8.9231123662020089</c:v>
                </c:pt>
                <c:pt idx="13">
                  <c:v>8.9367221433378017</c:v>
                </c:pt>
                <c:pt idx="14">
                  <c:v>8.9977293314857381</c:v>
                </c:pt>
                <c:pt idx="15">
                  <c:v>8.9775142835197812</c:v>
                </c:pt>
                <c:pt idx="16">
                  <c:v>8.8828481249221696</c:v>
                </c:pt>
                <c:pt idx="17">
                  <c:v>8.7168356051940385</c:v>
                </c:pt>
                <c:pt idx="18">
                  <c:v>8.5071262887772114</c:v>
                </c:pt>
                <c:pt idx="19">
                  <c:v>8.2715879249032866</c:v>
                </c:pt>
                <c:pt idx="20">
                  <c:v>8.0251583459587614</c:v>
                </c:pt>
                <c:pt idx="21">
                  <c:v>7.780538203304614</c:v>
                </c:pt>
                <c:pt idx="22">
                  <c:v>7.5379205457636971</c:v>
                </c:pt>
                <c:pt idx="23">
                  <c:v>7.2970909265052049</c:v>
                </c:pt>
                <c:pt idx="24">
                  <c:v>7.0593199572797589</c:v>
                </c:pt>
                <c:pt idx="25">
                  <c:v>6.8183780251744111</c:v>
                </c:pt>
                <c:pt idx="26">
                  <c:v>6.5759866398595612</c:v>
                </c:pt>
                <c:pt idx="27">
                  <c:v>6.3390294426566598</c:v>
                </c:pt>
                <c:pt idx="28">
                  <c:v>6.18813687754088</c:v>
                </c:pt>
                <c:pt idx="29">
                  <c:v>6.0048933419584944</c:v>
                </c:pt>
                <c:pt idx="30">
                  <c:v>5.7794087237419562</c:v>
                </c:pt>
                <c:pt idx="31">
                  <c:v>5.5585440034877616</c:v>
                </c:pt>
                <c:pt idx="32">
                  <c:v>5.3494574158357135</c:v>
                </c:pt>
                <c:pt idx="33">
                  <c:v>5.1521078726275</c:v>
                </c:pt>
                <c:pt idx="34">
                  <c:v>4.9664846631938335</c:v>
                </c:pt>
                <c:pt idx="35">
                  <c:v>4.7910299271741206</c:v>
                </c:pt>
                <c:pt idx="36">
                  <c:v>4.6244735156317933</c:v>
                </c:pt>
                <c:pt idx="37">
                  <c:v>4.4653930071359662</c:v>
                </c:pt>
                <c:pt idx="38">
                  <c:v>4.3124517153212683</c:v>
                </c:pt>
                <c:pt idx="39">
                  <c:v>4.1644808218928056</c:v>
                </c:pt>
                <c:pt idx="40">
                  <c:v>4.0235002306018748</c:v>
                </c:pt>
                <c:pt idx="41">
                  <c:v>3.8867500353118629</c:v>
                </c:pt>
                <c:pt idx="42">
                  <c:v>3.753059038062041</c:v>
                </c:pt>
                <c:pt idx="43">
                  <c:v>3.6249535232297019</c:v>
                </c:pt>
                <c:pt idx="44">
                  <c:v>3.4996105481508701</c:v>
                </c:pt>
                <c:pt idx="45">
                  <c:v>3.3812759024550818</c:v>
                </c:pt>
                <c:pt idx="46">
                  <c:v>3.2677931048475095</c:v>
                </c:pt>
                <c:pt idx="47">
                  <c:v>3.1415926535897931</c:v>
                </c:pt>
                <c:pt idx="48">
                  <c:v>3.0511868071334503</c:v>
                </c:pt>
                <c:pt idx="49">
                  <c:v>2.9558801770908443</c:v>
                </c:pt>
                <c:pt idx="50">
                  <c:v>2.8694225083566205</c:v>
                </c:pt>
                <c:pt idx="51">
                  <c:v>2.7768873413427753</c:v>
                </c:pt>
                <c:pt idx="52">
                  <c:v>2.6931615865263856</c:v>
                </c:pt>
                <c:pt idx="53">
                  <c:v>2.6151280405473907</c:v>
                </c:pt>
                <c:pt idx="54">
                  <c:v>2.539550040938138</c:v>
                </c:pt>
                <c:pt idx="55">
                  <c:v>2.4701297947320251</c:v>
                </c:pt>
                <c:pt idx="56">
                  <c:v>2.4040744228333089</c:v>
                </c:pt>
                <c:pt idx="57">
                  <c:v>2.3413146490327632</c:v>
                </c:pt>
                <c:pt idx="58">
                  <c:v>2.2821698698431261</c:v>
                </c:pt>
                <c:pt idx="59">
                  <c:v>2.2276235033421106</c:v>
                </c:pt>
                <c:pt idx="60">
                  <c:v>2.1735800645127545</c:v>
                </c:pt>
                <c:pt idx="61">
                  <c:v>2.1237516420634015</c:v>
                </c:pt>
                <c:pt idx="62">
                  <c:v>2.0783634089315011</c:v>
                </c:pt>
                <c:pt idx="63">
                  <c:v>2.034574974848649</c:v>
                </c:pt>
                <c:pt idx="64">
                  <c:v>1.9919616559581024</c:v>
                </c:pt>
                <c:pt idx="65">
                  <c:v>1.9536234806269206</c:v>
                </c:pt>
                <c:pt idx="66">
                  <c:v>1.9154114526125927</c:v>
                </c:pt>
                <c:pt idx="67">
                  <c:v>1.8804259548612947</c:v>
                </c:pt>
                <c:pt idx="68">
                  <c:v>1.8456044020350304</c:v>
                </c:pt>
                <c:pt idx="69">
                  <c:v>1.812672271194725</c:v>
                </c:pt>
                <c:pt idx="70">
                  <c:v>1.7811053765420879</c:v>
                </c:pt>
                <c:pt idx="71">
                  <c:v>1.7504057350794369</c:v>
                </c:pt>
                <c:pt idx="72">
                  <c:v>1.7216168292328462</c:v>
                </c:pt>
                <c:pt idx="73">
                  <c:v>1.6929533755279957</c:v>
                </c:pt>
                <c:pt idx="74">
                  <c:v>1.6671997029546477</c:v>
                </c:pt>
                <c:pt idx="75">
                  <c:v>1.6421570206666465</c:v>
                </c:pt>
                <c:pt idx="76">
                  <c:v>1.6160823660648274</c:v>
                </c:pt>
                <c:pt idx="77">
                  <c:v>1.5921901439334027</c:v>
                </c:pt>
                <c:pt idx="78">
                  <c:v>1.568525253856951</c:v>
                </c:pt>
                <c:pt idx="79">
                  <c:v>1.545901612301982</c:v>
                </c:pt>
                <c:pt idx="80">
                  <c:v>1.5241416445346343</c:v>
                </c:pt>
                <c:pt idx="81">
                  <c:v>1.5019279200276658</c:v>
                </c:pt>
                <c:pt idx="82">
                  <c:v>1.4807610459797014</c:v>
                </c:pt>
                <c:pt idx="83">
                  <c:v>1.4606367841063992</c:v>
                </c:pt>
                <c:pt idx="84">
                  <c:v>1.4411190264533136</c:v>
                </c:pt>
                <c:pt idx="85">
                  <c:v>1.4222045937270715</c:v>
                </c:pt>
                <c:pt idx="86">
                  <c:v>1.4036731529739552</c:v>
                </c:pt>
                <c:pt idx="87">
                  <c:v>1.3848645144681631</c:v>
                </c:pt>
                <c:pt idx="88">
                  <c:v>1.3677479559610104</c:v>
                </c:pt>
                <c:pt idx="89">
                  <c:v>1.3642295704059848</c:v>
                </c:pt>
                <c:pt idx="90">
                  <c:v>1.2701118095253716</c:v>
                </c:pt>
                <c:pt idx="91">
                  <c:v>1.1987055161536744</c:v>
                </c:pt>
                <c:pt idx="92">
                  <c:v>1.1361938185998475</c:v>
                </c:pt>
                <c:pt idx="93">
                  <c:v>1.0796396702077975</c:v>
                </c:pt>
                <c:pt idx="94">
                  <c:v>1.0281205569353875</c:v>
                </c:pt>
                <c:pt idx="95">
                  <c:v>0.98221246082603131</c:v>
                </c:pt>
                <c:pt idx="96">
                  <c:v>0.93992629398770133</c:v>
                </c:pt>
                <c:pt idx="97">
                  <c:v>0.9006936059807038</c:v>
                </c:pt>
                <c:pt idx="98">
                  <c:v>0.86501946786389161</c:v>
                </c:pt>
                <c:pt idx="99">
                  <c:v>0.83143550030010216</c:v>
                </c:pt>
                <c:pt idx="100">
                  <c:v>0.80069596006048505</c:v>
                </c:pt>
                <c:pt idx="101">
                  <c:v>0.77241060225354174</c:v>
                </c:pt>
                <c:pt idx="102">
                  <c:v>0.74582069639563431</c:v>
                </c:pt>
                <c:pt idx="103">
                  <c:v>0.7213811799800689</c:v>
                </c:pt>
                <c:pt idx="104">
                  <c:v>0.69791953198274514</c:v>
                </c:pt>
                <c:pt idx="105">
                  <c:v>0.67619409906519312</c:v>
                </c:pt>
                <c:pt idx="106">
                  <c:v>0.6559845653921812</c:v>
                </c:pt>
                <c:pt idx="107">
                  <c:v>0.63631754706704602</c:v>
                </c:pt>
                <c:pt idx="108">
                  <c:v>0.61871570004708498</c:v>
                </c:pt>
                <c:pt idx="109">
                  <c:v>0.60142890447021957</c:v>
                </c:pt>
                <c:pt idx="110">
                  <c:v>0.58486615622634486</c:v>
                </c:pt>
                <c:pt idx="111">
                  <c:v>0.5698766995266582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9F5-4F87-AD02-63761E6A3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75648"/>
        <c:axId val="421376432"/>
      </c:scatterChart>
      <c:valAx>
        <c:axId val="42137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76432"/>
        <c:crosses val="autoZero"/>
        <c:crossBetween val="midCat"/>
      </c:valAx>
      <c:valAx>
        <c:axId val="4213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75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07351268591425"/>
          <c:y val="0.23929316127150774"/>
          <c:w val="0.29216015530007633"/>
          <c:h val="0.16257339219880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Thorlabs Blue  vs UNCP Orange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@ 405nm</a:t>
            </a:r>
          </a:p>
        </c:rich>
      </c:tx>
      <c:layout>
        <c:manualLayout>
          <c:xMode val="edge"/>
          <c:yMode val="edge"/>
          <c:x val="0.29972499509214395"/>
          <c:y val="7.98444248910147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31330433161599"/>
          <c:y val="0.17171296296296296"/>
          <c:w val="0.85382491079249911"/>
          <c:h val="0.7121988333120251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'LCVR 407'!$Q$1</c:f>
              <c:strCache>
                <c:ptCount val="1"/>
                <c:pt idx="0">
                  <c:v>d (waves)</c:v>
                </c:pt>
              </c:strCache>
            </c:strRef>
          </c:tx>
          <c:marker>
            <c:symbol val="none"/>
          </c:marker>
          <c:xVal>
            <c:numRef>
              <c:f>'LCVR 407'!$P$2:$P$113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'LCVR 407'!$Q$2:$Q$113</c:f>
              <c:numCache>
                <c:formatCode>General</c:formatCode>
                <c:ptCount val="112"/>
                <c:pt idx="0">
                  <c:v>1.3873201729151554</c:v>
                </c:pt>
                <c:pt idx="1">
                  <c:v>1.3891303537344117</c:v>
                </c:pt>
                <c:pt idx="2">
                  <c:v>1.3893416099658409</c:v>
                </c:pt>
                <c:pt idx="3">
                  <c:v>1.3899784444226408</c:v>
                </c:pt>
                <c:pt idx="4">
                  <c:v>1.3906199645502393</c:v>
                </c:pt>
                <c:pt idx="5">
                  <c:v>1.3928671576121996</c:v>
                </c:pt>
                <c:pt idx="6">
                  <c:v>1.3995666117936008</c:v>
                </c:pt>
                <c:pt idx="7">
                  <c:v>1.4088331222152979</c:v>
                </c:pt>
                <c:pt idx="8">
                  <c:v>1.4120246560368783</c:v>
                </c:pt>
                <c:pt idx="9">
                  <c:v>1.4125083065225881</c:v>
                </c:pt>
                <c:pt idx="10">
                  <c:v>1.416807346248885</c:v>
                </c:pt>
                <c:pt idx="11">
                  <c:v>1.4178652039080124</c:v>
                </c:pt>
                <c:pt idx="12">
                  <c:v>1.4201574408454682</c:v>
                </c:pt>
                <c:pt idx="13">
                  <c:v>1.4223235041510087</c:v>
                </c:pt>
                <c:pt idx="14">
                  <c:v>1.4320330997088901</c:v>
                </c:pt>
                <c:pt idx="15">
                  <c:v>1.4288157749002683</c:v>
                </c:pt>
                <c:pt idx="16">
                  <c:v>1.4137491878159372</c:v>
                </c:pt>
                <c:pt idx="17">
                  <c:v>1.3873274746860642</c:v>
                </c:pt>
                <c:pt idx="18">
                  <c:v>1.353951200365904</c:v>
                </c:pt>
                <c:pt idx="19">
                  <c:v>1.3164641054675912</c:v>
                </c:pt>
                <c:pt idx="20">
                  <c:v>1.2772436198545156</c:v>
                </c:pt>
                <c:pt idx="21">
                  <c:v>1.2383111149712636</c:v>
                </c:pt>
                <c:pt idx="22">
                  <c:v>1.1996973154922499</c:v>
                </c:pt>
                <c:pt idx="23">
                  <c:v>1.1613680911443218</c:v>
                </c:pt>
                <c:pt idx="24">
                  <c:v>1.123525666068341</c:v>
                </c:pt>
                <c:pt idx="25">
                  <c:v>1.085178566575663</c:v>
                </c:pt>
                <c:pt idx="26">
                  <c:v>1.0466007794399126</c:v>
                </c:pt>
                <c:pt idx="27">
                  <c:v>1.0088878702038697</c:v>
                </c:pt>
                <c:pt idx="28">
                  <c:v>0.9848725725898777</c:v>
                </c:pt>
                <c:pt idx="29">
                  <c:v>0.95570845811230543</c:v>
                </c:pt>
                <c:pt idx="30">
                  <c:v>0.91982146653195451</c:v>
                </c:pt>
                <c:pt idx="31">
                  <c:v>0.88466975454889074</c:v>
                </c:pt>
                <c:pt idx="32">
                  <c:v>0.85139259058985051</c:v>
                </c:pt>
                <c:pt idx="33">
                  <c:v>0.81998343527133577</c:v>
                </c:pt>
                <c:pt idx="34">
                  <c:v>0.79044058393738559</c:v>
                </c:pt>
                <c:pt idx="35">
                  <c:v>0.76251609541096466</c:v>
                </c:pt>
                <c:pt idx="36">
                  <c:v>0.7360078192103553</c:v>
                </c:pt>
                <c:pt idx="37">
                  <c:v>0.71068936993367215</c:v>
                </c:pt>
                <c:pt idx="38">
                  <c:v>0.68634800733850287</c:v>
                </c:pt>
                <c:pt idx="39">
                  <c:v>0.66279770821563899</c:v>
                </c:pt>
                <c:pt idx="40">
                  <c:v>0.64035995023166914</c:v>
                </c:pt>
                <c:pt idx="41">
                  <c:v>0.61859548068248171</c:v>
                </c:pt>
                <c:pt idx="42">
                  <c:v>0.59731789762328757</c:v>
                </c:pt>
                <c:pt idx="43">
                  <c:v>0.57692927170038877</c:v>
                </c:pt>
                <c:pt idx="44">
                  <c:v>0.55698031763474842</c:v>
                </c:pt>
                <c:pt idx="45">
                  <c:v>0.53814677383323561</c:v>
                </c:pt>
                <c:pt idx="46">
                  <c:v>0.52008542563809335</c:v>
                </c:pt>
                <c:pt idx="47">
                  <c:v>0.5</c:v>
                </c:pt>
                <c:pt idx="48">
                  <c:v>0.48561146265206612</c:v>
                </c:pt>
                <c:pt idx="49">
                  <c:v>0.47044294137135484</c:v>
                </c:pt>
                <c:pt idx="50">
                  <c:v>0.45668277602410151</c:v>
                </c:pt>
                <c:pt idx="51">
                  <c:v>0.44195534678401394</c:v>
                </c:pt>
                <c:pt idx="52">
                  <c:v>0.42862997904088546</c:v>
                </c:pt>
                <c:pt idx="53">
                  <c:v>0.41621055447133976</c:v>
                </c:pt>
                <c:pt idx="54">
                  <c:v>0.40418194224452986</c:v>
                </c:pt>
                <c:pt idx="55">
                  <c:v>0.39313336691017059</c:v>
                </c:pt>
                <c:pt idx="56">
                  <c:v>0.3826203279547164</c:v>
                </c:pt>
                <c:pt idx="57">
                  <c:v>0.37263179972703037</c:v>
                </c:pt>
                <c:pt idx="58">
                  <c:v>0.3632186157609209</c:v>
                </c:pt>
                <c:pt idx="59">
                  <c:v>0.35453729190458216</c:v>
                </c:pt>
                <c:pt idx="60">
                  <c:v>0.34593601147320563</c:v>
                </c:pt>
                <c:pt idx="61">
                  <c:v>0.33800557173391993</c:v>
                </c:pt>
                <c:pt idx="62">
                  <c:v>0.33078181007277063</c:v>
                </c:pt>
                <c:pt idx="63">
                  <c:v>0.32381266433823114</c:v>
                </c:pt>
                <c:pt idx="64">
                  <c:v>0.31703054399524938</c:v>
                </c:pt>
                <c:pt idx="65">
                  <c:v>0.31092883388216808</c:v>
                </c:pt>
                <c:pt idx="66">
                  <c:v>0.30484720073812177</c:v>
                </c:pt>
                <c:pt idx="67">
                  <c:v>0.29927908583447232</c:v>
                </c:pt>
                <c:pt idx="68">
                  <c:v>0.29373706357603679</c:v>
                </c:pt>
                <c:pt idx="69">
                  <c:v>0.28849575216625312</c:v>
                </c:pt>
                <c:pt idx="70">
                  <c:v>0.28347172484422484</c:v>
                </c:pt>
                <c:pt idx="71">
                  <c:v>0.27858572515429503</c:v>
                </c:pt>
                <c:pt idx="72">
                  <c:v>0.27400382848260296</c:v>
                </c:pt>
                <c:pt idx="73">
                  <c:v>0.26944189813939029</c:v>
                </c:pt>
                <c:pt idx="74">
                  <c:v>0.2653430738465718</c:v>
                </c:pt>
                <c:pt idx="75">
                  <c:v>0.2613574071721565</c:v>
                </c:pt>
                <c:pt idx="76">
                  <c:v>0.25720749700286316</c:v>
                </c:pt>
                <c:pt idx="77">
                  <c:v>0.25340493174919737</c:v>
                </c:pt>
                <c:pt idx="78">
                  <c:v>0.24963854751580372</c:v>
                </c:pt>
                <c:pt idx="79">
                  <c:v>0.2460378831315912</c:v>
                </c:pt>
                <c:pt idx="80">
                  <c:v>0.24257467669989749</c:v>
                </c:pt>
                <c:pt idx="81">
                  <c:v>0.2390392526401319</c:v>
                </c:pt>
                <c:pt idx="82">
                  <c:v>0.23567044000559478</c:v>
                </c:pt>
                <c:pt idx="83">
                  <c:v>0.23246756425238299</c:v>
                </c:pt>
                <c:pt idx="84">
                  <c:v>0.22936121664382475</c:v>
                </c:pt>
                <c:pt idx="85">
                  <c:v>0.2263508911796642</c:v>
                </c:pt>
                <c:pt idx="86">
                  <c:v>0.22340152078119116</c:v>
                </c:pt>
                <c:pt idx="87">
                  <c:v>0.22040803299016576</c:v>
                </c:pt>
                <c:pt idx="88">
                  <c:v>0.21768384809503077</c:v>
                </c:pt>
                <c:pt idx="89">
                  <c:v>0.21712387964224533</c:v>
                </c:pt>
                <c:pt idx="90">
                  <c:v>0.20214457276535475</c:v>
                </c:pt>
                <c:pt idx="91">
                  <c:v>0.19077990820737908</c:v>
                </c:pt>
                <c:pt idx="92">
                  <c:v>0.18083086254062197</c:v>
                </c:pt>
                <c:pt idx="93">
                  <c:v>0.17182999027167467</c:v>
                </c:pt>
                <c:pt idx="94">
                  <c:v>0.16363046873065934</c:v>
                </c:pt>
                <c:pt idx="95">
                  <c:v>0.1563239683069175</c:v>
                </c:pt>
                <c:pt idx="96">
                  <c:v>0.14959391583018869</c:v>
                </c:pt>
                <c:pt idx="97">
                  <c:v>0.14334983960309292</c:v>
                </c:pt>
                <c:pt idx="98">
                  <c:v>0.13767212418125926</c:v>
                </c:pt>
                <c:pt idx="99">
                  <c:v>0.13232706973484429</c:v>
                </c:pt>
                <c:pt idx="100">
                  <c:v>0.12743471995733699</c:v>
                </c:pt>
                <c:pt idx="101">
                  <c:v>0.12293296544523905</c:v>
                </c:pt>
                <c:pt idx="102">
                  <c:v>0.11870105049160493</c:v>
                </c:pt>
                <c:pt idx="103">
                  <c:v>0.11481138064729218</c:v>
                </c:pt>
                <c:pt idx="104">
                  <c:v>0.11107734339543604</c:v>
                </c:pt>
                <c:pt idx="105">
                  <c:v>0.10761963335579625</c:v>
                </c:pt>
                <c:pt idx="106">
                  <c:v>0.1044031861741543</c:v>
                </c:pt>
                <c:pt idx="107">
                  <c:v>0.10127308299183015</c:v>
                </c:pt>
                <c:pt idx="108">
                  <c:v>9.8471662031055993E-2</c:v>
                </c:pt>
                <c:pt idx="109">
                  <c:v>9.5720383064778758E-2</c:v>
                </c:pt>
                <c:pt idx="110">
                  <c:v>9.3084339810579481E-2</c:v>
                </c:pt>
                <c:pt idx="111">
                  <c:v>9.0698693682562434E-2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02-416C-9B82-CED5AD4D05A0}"/>
            </c:ext>
          </c:extLst>
        </c:ser>
        <c:ser>
          <c:idx val="0"/>
          <c:order val="1"/>
          <c:tx>
            <c:strRef>
              <c:f>'[1]Thorlabs LCVR data'!$D$2</c:f>
              <c:strCache>
                <c:ptCount val="1"/>
                <c:pt idx="0">
                  <c:v>Retardance 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'[1]Thorlabs LCVR data'!$C$3:$C$257</c:f>
              <c:numCache>
                <c:formatCode>General</c:formatCode>
                <c:ptCount val="25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1.02</c:v>
                </c:pt>
                <c:pt idx="11">
                  <c:v>1.04</c:v>
                </c:pt>
                <c:pt idx="12">
                  <c:v>1.06</c:v>
                </c:pt>
                <c:pt idx="13">
                  <c:v>1.08</c:v>
                </c:pt>
                <c:pt idx="14">
                  <c:v>1.1000000000000001</c:v>
                </c:pt>
                <c:pt idx="15">
                  <c:v>1.1200000000000001</c:v>
                </c:pt>
                <c:pt idx="16">
                  <c:v>1.1399999999999999</c:v>
                </c:pt>
                <c:pt idx="17">
                  <c:v>1.1599999999999999</c:v>
                </c:pt>
                <c:pt idx="18">
                  <c:v>1.18</c:v>
                </c:pt>
                <c:pt idx="19">
                  <c:v>1.2</c:v>
                </c:pt>
                <c:pt idx="20">
                  <c:v>1.22</c:v>
                </c:pt>
                <c:pt idx="21">
                  <c:v>1.24</c:v>
                </c:pt>
                <c:pt idx="22">
                  <c:v>1.26</c:v>
                </c:pt>
                <c:pt idx="23">
                  <c:v>1.28</c:v>
                </c:pt>
                <c:pt idx="24">
                  <c:v>1.3</c:v>
                </c:pt>
                <c:pt idx="25">
                  <c:v>1.32</c:v>
                </c:pt>
                <c:pt idx="26">
                  <c:v>1.34</c:v>
                </c:pt>
                <c:pt idx="27">
                  <c:v>1.36</c:v>
                </c:pt>
                <c:pt idx="28">
                  <c:v>1.38</c:v>
                </c:pt>
                <c:pt idx="29">
                  <c:v>1.4</c:v>
                </c:pt>
                <c:pt idx="30">
                  <c:v>1.42</c:v>
                </c:pt>
                <c:pt idx="31">
                  <c:v>1.44</c:v>
                </c:pt>
                <c:pt idx="32">
                  <c:v>1.46</c:v>
                </c:pt>
                <c:pt idx="33">
                  <c:v>1.48</c:v>
                </c:pt>
                <c:pt idx="34">
                  <c:v>1.5</c:v>
                </c:pt>
                <c:pt idx="35">
                  <c:v>1.52</c:v>
                </c:pt>
                <c:pt idx="36">
                  <c:v>1.54</c:v>
                </c:pt>
                <c:pt idx="37">
                  <c:v>1.56</c:v>
                </c:pt>
                <c:pt idx="38">
                  <c:v>1.58</c:v>
                </c:pt>
                <c:pt idx="39">
                  <c:v>1.6</c:v>
                </c:pt>
                <c:pt idx="40">
                  <c:v>1.62</c:v>
                </c:pt>
                <c:pt idx="41">
                  <c:v>1.64</c:v>
                </c:pt>
                <c:pt idx="42">
                  <c:v>1.66</c:v>
                </c:pt>
                <c:pt idx="43">
                  <c:v>1.68</c:v>
                </c:pt>
                <c:pt idx="44">
                  <c:v>1.7</c:v>
                </c:pt>
                <c:pt idx="45">
                  <c:v>1.72</c:v>
                </c:pt>
                <c:pt idx="46">
                  <c:v>1.74</c:v>
                </c:pt>
                <c:pt idx="47">
                  <c:v>1.76</c:v>
                </c:pt>
                <c:pt idx="48">
                  <c:v>1.78</c:v>
                </c:pt>
                <c:pt idx="49">
                  <c:v>1.8</c:v>
                </c:pt>
                <c:pt idx="50">
                  <c:v>1.82</c:v>
                </c:pt>
                <c:pt idx="51">
                  <c:v>1.84</c:v>
                </c:pt>
                <c:pt idx="52">
                  <c:v>1.86</c:v>
                </c:pt>
                <c:pt idx="53">
                  <c:v>1.88</c:v>
                </c:pt>
                <c:pt idx="54">
                  <c:v>1.9</c:v>
                </c:pt>
                <c:pt idx="55">
                  <c:v>1.92</c:v>
                </c:pt>
                <c:pt idx="56">
                  <c:v>1.94</c:v>
                </c:pt>
                <c:pt idx="57">
                  <c:v>1.96</c:v>
                </c:pt>
                <c:pt idx="58">
                  <c:v>1.98</c:v>
                </c:pt>
                <c:pt idx="59">
                  <c:v>2</c:v>
                </c:pt>
                <c:pt idx="60">
                  <c:v>2.02</c:v>
                </c:pt>
                <c:pt idx="61">
                  <c:v>2.04</c:v>
                </c:pt>
                <c:pt idx="62">
                  <c:v>2.06</c:v>
                </c:pt>
                <c:pt idx="63">
                  <c:v>2.08</c:v>
                </c:pt>
                <c:pt idx="64">
                  <c:v>2.1</c:v>
                </c:pt>
                <c:pt idx="65">
                  <c:v>2.12</c:v>
                </c:pt>
                <c:pt idx="66">
                  <c:v>2.14</c:v>
                </c:pt>
                <c:pt idx="67">
                  <c:v>2.16</c:v>
                </c:pt>
                <c:pt idx="68">
                  <c:v>2.1800000000000002</c:v>
                </c:pt>
                <c:pt idx="69">
                  <c:v>2.2000000000000002</c:v>
                </c:pt>
                <c:pt idx="70">
                  <c:v>2.2200000000000002</c:v>
                </c:pt>
                <c:pt idx="71">
                  <c:v>2.2400000000000002</c:v>
                </c:pt>
                <c:pt idx="72">
                  <c:v>2.2599999999999998</c:v>
                </c:pt>
                <c:pt idx="73">
                  <c:v>2.2799999999999998</c:v>
                </c:pt>
                <c:pt idx="74">
                  <c:v>2.2999999999999998</c:v>
                </c:pt>
                <c:pt idx="75">
                  <c:v>2.3199999999999998</c:v>
                </c:pt>
                <c:pt idx="76">
                  <c:v>2.34</c:v>
                </c:pt>
                <c:pt idx="77">
                  <c:v>2.36</c:v>
                </c:pt>
                <c:pt idx="78">
                  <c:v>2.38</c:v>
                </c:pt>
                <c:pt idx="79">
                  <c:v>2.4</c:v>
                </c:pt>
                <c:pt idx="80">
                  <c:v>2.42</c:v>
                </c:pt>
                <c:pt idx="81">
                  <c:v>2.44</c:v>
                </c:pt>
                <c:pt idx="82">
                  <c:v>2.46</c:v>
                </c:pt>
                <c:pt idx="83">
                  <c:v>2.48</c:v>
                </c:pt>
                <c:pt idx="84">
                  <c:v>2.5</c:v>
                </c:pt>
                <c:pt idx="85">
                  <c:v>2.52</c:v>
                </c:pt>
                <c:pt idx="86">
                  <c:v>2.54</c:v>
                </c:pt>
                <c:pt idx="87">
                  <c:v>2.56</c:v>
                </c:pt>
                <c:pt idx="88">
                  <c:v>2.58</c:v>
                </c:pt>
                <c:pt idx="89">
                  <c:v>2.6</c:v>
                </c:pt>
                <c:pt idx="90">
                  <c:v>2.62</c:v>
                </c:pt>
                <c:pt idx="91">
                  <c:v>2.64</c:v>
                </c:pt>
                <c:pt idx="92">
                  <c:v>2.66</c:v>
                </c:pt>
                <c:pt idx="93">
                  <c:v>2.68</c:v>
                </c:pt>
                <c:pt idx="94">
                  <c:v>2.7</c:v>
                </c:pt>
                <c:pt idx="95">
                  <c:v>2.72</c:v>
                </c:pt>
                <c:pt idx="96">
                  <c:v>2.74</c:v>
                </c:pt>
                <c:pt idx="97">
                  <c:v>2.76</c:v>
                </c:pt>
                <c:pt idx="98">
                  <c:v>2.78</c:v>
                </c:pt>
                <c:pt idx="99">
                  <c:v>2.8</c:v>
                </c:pt>
                <c:pt idx="100">
                  <c:v>2.82</c:v>
                </c:pt>
                <c:pt idx="101">
                  <c:v>2.84</c:v>
                </c:pt>
                <c:pt idx="102">
                  <c:v>2.86</c:v>
                </c:pt>
                <c:pt idx="103">
                  <c:v>2.88</c:v>
                </c:pt>
                <c:pt idx="104">
                  <c:v>2.9</c:v>
                </c:pt>
                <c:pt idx="105">
                  <c:v>2.92</c:v>
                </c:pt>
                <c:pt idx="106">
                  <c:v>2.94</c:v>
                </c:pt>
                <c:pt idx="107">
                  <c:v>2.96</c:v>
                </c:pt>
                <c:pt idx="108">
                  <c:v>2.98</c:v>
                </c:pt>
                <c:pt idx="109">
                  <c:v>3</c:v>
                </c:pt>
                <c:pt idx="110">
                  <c:v>3.1</c:v>
                </c:pt>
                <c:pt idx="111">
                  <c:v>3.2</c:v>
                </c:pt>
                <c:pt idx="112">
                  <c:v>3.3</c:v>
                </c:pt>
                <c:pt idx="113">
                  <c:v>3.4</c:v>
                </c:pt>
                <c:pt idx="114">
                  <c:v>3.5</c:v>
                </c:pt>
                <c:pt idx="115">
                  <c:v>3.6</c:v>
                </c:pt>
                <c:pt idx="116">
                  <c:v>3.7</c:v>
                </c:pt>
                <c:pt idx="117">
                  <c:v>3.8</c:v>
                </c:pt>
                <c:pt idx="118">
                  <c:v>3.9</c:v>
                </c:pt>
                <c:pt idx="119">
                  <c:v>4</c:v>
                </c:pt>
                <c:pt idx="120">
                  <c:v>4.0999999999999996</c:v>
                </c:pt>
                <c:pt idx="121">
                  <c:v>4.2</c:v>
                </c:pt>
                <c:pt idx="122">
                  <c:v>4.3</c:v>
                </c:pt>
                <c:pt idx="123">
                  <c:v>4.4000000000000004</c:v>
                </c:pt>
                <c:pt idx="124">
                  <c:v>4.5</c:v>
                </c:pt>
                <c:pt idx="125">
                  <c:v>4.5999999999999996</c:v>
                </c:pt>
                <c:pt idx="126">
                  <c:v>4.7</c:v>
                </c:pt>
                <c:pt idx="127">
                  <c:v>4.8</c:v>
                </c:pt>
                <c:pt idx="128">
                  <c:v>4.9000000000000004</c:v>
                </c:pt>
                <c:pt idx="129">
                  <c:v>5</c:v>
                </c:pt>
                <c:pt idx="130">
                  <c:v>5.0999999999999996</c:v>
                </c:pt>
                <c:pt idx="131">
                  <c:v>5.2</c:v>
                </c:pt>
                <c:pt idx="132">
                  <c:v>5.3</c:v>
                </c:pt>
                <c:pt idx="133">
                  <c:v>5.4</c:v>
                </c:pt>
                <c:pt idx="134">
                  <c:v>5.5</c:v>
                </c:pt>
                <c:pt idx="135">
                  <c:v>5.6</c:v>
                </c:pt>
                <c:pt idx="136">
                  <c:v>5.7</c:v>
                </c:pt>
                <c:pt idx="137">
                  <c:v>5.8</c:v>
                </c:pt>
                <c:pt idx="138">
                  <c:v>5.9</c:v>
                </c:pt>
                <c:pt idx="139">
                  <c:v>6</c:v>
                </c:pt>
                <c:pt idx="140">
                  <c:v>6.1</c:v>
                </c:pt>
                <c:pt idx="141">
                  <c:v>6.2</c:v>
                </c:pt>
                <c:pt idx="142">
                  <c:v>6.3</c:v>
                </c:pt>
                <c:pt idx="143">
                  <c:v>6.4</c:v>
                </c:pt>
                <c:pt idx="144">
                  <c:v>6.5</c:v>
                </c:pt>
                <c:pt idx="145">
                  <c:v>6.6</c:v>
                </c:pt>
                <c:pt idx="146">
                  <c:v>6.7</c:v>
                </c:pt>
                <c:pt idx="147">
                  <c:v>6.8</c:v>
                </c:pt>
                <c:pt idx="148">
                  <c:v>6.9</c:v>
                </c:pt>
                <c:pt idx="149">
                  <c:v>7</c:v>
                </c:pt>
                <c:pt idx="150">
                  <c:v>7.1</c:v>
                </c:pt>
                <c:pt idx="151">
                  <c:v>7.2</c:v>
                </c:pt>
                <c:pt idx="152">
                  <c:v>7.3</c:v>
                </c:pt>
                <c:pt idx="153">
                  <c:v>7.4</c:v>
                </c:pt>
                <c:pt idx="154">
                  <c:v>7.5</c:v>
                </c:pt>
                <c:pt idx="155">
                  <c:v>7.6</c:v>
                </c:pt>
                <c:pt idx="156">
                  <c:v>7.7</c:v>
                </c:pt>
                <c:pt idx="157">
                  <c:v>7.8</c:v>
                </c:pt>
                <c:pt idx="158">
                  <c:v>7.9</c:v>
                </c:pt>
                <c:pt idx="159">
                  <c:v>8</c:v>
                </c:pt>
                <c:pt idx="160">
                  <c:v>8.1</c:v>
                </c:pt>
                <c:pt idx="161">
                  <c:v>8.1999999999999993</c:v>
                </c:pt>
                <c:pt idx="162">
                  <c:v>8.3000000000000007</c:v>
                </c:pt>
                <c:pt idx="163">
                  <c:v>8.4</c:v>
                </c:pt>
                <c:pt idx="164">
                  <c:v>8.5</c:v>
                </c:pt>
                <c:pt idx="165">
                  <c:v>8.6</c:v>
                </c:pt>
                <c:pt idx="166">
                  <c:v>8.6999999999999993</c:v>
                </c:pt>
                <c:pt idx="167">
                  <c:v>8.8000000000000007</c:v>
                </c:pt>
                <c:pt idx="168">
                  <c:v>8.9</c:v>
                </c:pt>
                <c:pt idx="169">
                  <c:v>9</c:v>
                </c:pt>
                <c:pt idx="170">
                  <c:v>9.1</c:v>
                </c:pt>
                <c:pt idx="171">
                  <c:v>9.1999999999999993</c:v>
                </c:pt>
                <c:pt idx="172">
                  <c:v>9.3000000000000007</c:v>
                </c:pt>
                <c:pt idx="173">
                  <c:v>9.4</c:v>
                </c:pt>
                <c:pt idx="174">
                  <c:v>9.5</c:v>
                </c:pt>
                <c:pt idx="175">
                  <c:v>9.6</c:v>
                </c:pt>
                <c:pt idx="176">
                  <c:v>9.6999999999999993</c:v>
                </c:pt>
                <c:pt idx="177">
                  <c:v>9.8000000000000007</c:v>
                </c:pt>
                <c:pt idx="178">
                  <c:v>9.9</c:v>
                </c:pt>
                <c:pt idx="179">
                  <c:v>10</c:v>
                </c:pt>
                <c:pt idx="180">
                  <c:v>10.199999999999999</c:v>
                </c:pt>
                <c:pt idx="181">
                  <c:v>10.4</c:v>
                </c:pt>
                <c:pt idx="182">
                  <c:v>10.6</c:v>
                </c:pt>
                <c:pt idx="183">
                  <c:v>10.8</c:v>
                </c:pt>
                <c:pt idx="184">
                  <c:v>11</c:v>
                </c:pt>
                <c:pt idx="185">
                  <c:v>11.2</c:v>
                </c:pt>
                <c:pt idx="186">
                  <c:v>11.4</c:v>
                </c:pt>
                <c:pt idx="187">
                  <c:v>11.6</c:v>
                </c:pt>
                <c:pt idx="188">
                  <c:v>11.8</c:v>
                </c:pt>
                <c:pt idx="189">
                  <c:v>12</c:v>
                </c:pt>
                <c:pt idx="190">
                  <c:v>12.2</c:v>
                </c:pt>
                <c:pt idx="191">
                  <c:v>12.4</c:v>
                </c:pt>
                <c:pt idx="192">
                  <c:v>12.6</c:v>
                </c:pt>
                <c:pt idx="193">
                  <c:v>12.8</c:v>
                </c:pt>
                <c:pt idx="194">
                  <c:v>13</c:v>
                </c:pt>
                <c:pt idx="195">
                  <c:v>13.2</c:v>
                </c:pt>
                <c:pt idx="196">
                  <c:v>13.4</c:v>
                </c:pt>
                <c:pt idx="197">
                  <c:v>13.6</c:v>
                </c:pt>
                <c:pt idx="198">
                  <c:v>13.8</c:v>
                </c:pt>
                <c:pt idx="199">
                  <c:v>14</c:v>
                </c:pt>
                <c:pt idx="200">
                  <c:v>14.2</c:v>
                </c:pt>
                <c:pt idx="201">
                  <c:v>14.4</c:v>
                </c:pt>
                <c:pt idx="202">
                  <c:v>14.6</c:v>
                </c:pt>
                <c:pt idx="203">
                  <c:v>14.8</c:v>
                </c:pt>
                <c:pt idx="204">
                  <c:v>15</c:v>
                </c:pt>
                <c:pt idx="205">
                  <c:v>15.2</c:v>
                </c:pt>
                <c:pt idx="206">
                  <c:v>15.4</c:v>
                </c:pt>
                <c:pt idx="207">
                  <c:v>15.6</c:v>
                </c:pt>
                <c:pt idx="208">
                  <c:v>15.8</c:v>
                </c:pt>
                <c:pt idx="209">
                  <c:v>16</c:v>
                </c:pt>
                <c:pt idx="210">
                  <c:v>16.2</c:v>
                </c:pt>
                <c:pt idx="211">
                  <c:v>16.399999999999999</c:v>
                </c:pt>
                <c:pt idx="212">
                  <c:v>16.600000000000001</c:v>
                </c:pt>
                <c:pt idx="213">
                  <c:v>16.8</c:v>
                </c:pt>
                <c:pt idx="214">
                  <c:v>17</c:v>
                </c:pt>
                <c:pt idx="215">
                  <c:v>17.2</c:v>
                </c:pt>
                <c:pt idx="216">
                  <c:v>17.399999999999999</c:v>
                </c:pt>
                <c:pt idx="217">
                  <c:v>17.600000000000001</c:v>
                </c:pt>
                <c:pt idx="218">
                  <c:v>17.8</c:v>
                </c:pt>
                <c:pt idx="219">
                  <c:v>18</c:v>
                </c:pt>
                <c:pt idx="220">
                  <c:v>18.2</c:v>
                </c:pt>
                <c:pt idx="221">
                  <c:v>18.399999999999999</c:v>
                </c:pt>
                <c:pt idx="222">
                  <c:v>18.600000000000001</c:v>
                </c:pt>
                <c:pt idx="223">
                  <c:v>18.8</c:v>
                </c:pt>
                <c:pt idx="224">
                  <c:v>19</c:v>
                </c:pt>
                <c:pt idx="225">
                  <c:v>19.2</c:v>
                </c:pt>
                <c:pt idx="226">
                  <c:v>19.399999999999999</c:v>
                </c:pt>
                <c:pt idx="227">
                  <c:v>19.600000000000001</c:v>
                </c:pt>
                <c:pt idx="228">
                  <c:v>19.8</c:v>
                </c:pt>
                <c:pt idx="229">
                  <c:v>20</c:v>
                </c:pt>
                <c:pt idx="230">
                  <c:v>20.2</c:v>
                </c:pt>
                <c:pt idx="231">
                  <c:v>20.399999999999999</c:v>
                </c:pt>
                <c:pt idx="232">
                  <c:v>20.6</c:v>
                </c:pt>
                <c:pt idx="233">
                  <c:v>20.8</c:v>
                </c:pt>
                <c:pt idx="234">
                  <c:v>21</c:v>
                </c:pt>
                <c:pt idx="235">
                  <c:v>21.2</c:v>
                </c:pt>
                <c:pt idx="236">
                  <c:v>21.4</c:v>
                </c:pt>
                <c:pt idx="237">
                  <c:v>21.6</c:v>
                </c:pt>
                <c:pt idx="238">
                  <c:v>21.8</c:v>
                </c:pt>
                <c:pt idx="239">
                  <c:v>22</c:v>
                </c:pt>
                <c:pt idx="240">
                  <c:v>22.2</c:v>
                </c:pt>
                <c:pt idx="241">
                  <c:v>22.4</c:v>
                </c:pt>
                <c:pt idx="242">
                  <c:v>22.6</c:v>
                </c:pt>
                <c:pt idx="243">
                  <c:v>22.8</c:v>
                </c:pt>
                <c:pt idx="244">
                  <c:v>23</c:v>
                </c:pt>
                <c:pt idx="245">
                  <c:v>23.2</c:v>
                </c:pt>
                <c:pt idx="246">
                  <c:v>23.4</c:v>
                </c:pt>
                <c:pt idx="247">
                  <c:v>23.6</c:v>
                </c:pt>
                <c:pt idx="248">
                  <c:v>23.8</c:v>
                </c:pt>
                <c:pt idx="249">
                  <c:v>24</c:v>
                </c:pt>
                <c:pt idx="250">
                  <c:v>24.2</c:v>
                </c:pt>
                <c:pt idx="251">
                  <c:v>24.4</c:v>
                </c:pt>
                <c:pt idx="252">
                  <c:v>24.6</c:v>
                </c:pt>
                <c:pt idx="253">
                  <c:v>24.8</c:v>
                </c:pt>
                <c:pt idx="254">
                  <c:v>25</c:v>
                </c:pt>
              </c:numCache>
            </c:numRef>
          </c:xVal>
          <c:yVal>
            <c:numRef>
              <c:f>'[1]Thorlabs LCVR data'!$D$3:$D$257</c:f>
              <c:numCache>
                <c:formatCode>General</c:formatCode>
                <c:ptCount val="255"/>
                <c:pt idx="0">
                  <c:v>1.3243400000000001</c:v>
                </c:pt>
                <c:pt idx="1">
                  <c:v>1.32544</c:v>
                </c:pt>
                <c:pt idx="2">
                  <c:v>1.32603</c:v>
                </c:pt>
                <c:pt idx="3">
                  <c:v>1.32507</c:v>
                </c:pt>
                <c:pt idx="4">
                  <c:v>1.32317</c:v>
                </c:pt>
                <c:pt idx="5">
                  <c:v>1.32023</c:v>
                </c:pt>
                <c:pt idx="6">
                  <c:v>1.31304</c:v>
                </c:pt>
                <c:pt idx="7">
                  <c:v>1.2852600000000001</c:v>
                </c:pt>
                <c:pt idx="8">
                  <c:v>1.2179</c:v>
                </c:pt>
                <c:pt idx="9">
                  <c:v>1.1523699999999999</c:v>
                </c:pt>
                <c:pt idx="10">
                  <c:v>1.14317</c:v>
                </c:pt>
                <c:pt idx="11">
                  <c:v>1.13727</c:v>
                </c:pt>
                <c:pt idx="12">
                  <c:v>1.13365</c:v>
                </c:pt>
                <c:pt idx="13">
                  <c:v>1.13147</c:v>
                </c:pt>
                <c:pt idx="14">
                  <c:v>0.86702000000000001</c:v>
                </c:pt>
                <c:pt idx="15">
                  <c:v>0.86270000000000002</c:v>
                </c:pt>
                <c:pt idx="16">
                  <c:v>0.85546999999999995</c:v>
                </c:pt>
                <c:pt idx="17">
                  <c:v>0.84665999999999997</c:v>
                </c:pt>
                <c:pt idx="18">
                  <c:v>0.83642000000000005</c:v>
                </c:pt>
                <c:pt idx="19">
                  <c:v>0.82591999999999999</c:v>
                </c:pt>
                <c:pt idx="20">
                  <c:v>0.81250999999999995</c:v>
                </c:pt>
                <c:pt idx="21">
                  <c:v>0.79952999999999996</c:v>
                </c:pt>
                <c:pt idx="22">
                  <c:v>0.78669999999999995</c:v>
                </c:pt>
                <c:pt idx="23">
                  <c:v>0.77327000000000001</c:v>
                </c:pt>
                <c:pt idx="24">
                  <c:v>0.7601</c:v>
                </c:pt>
                <c:pt idx="25">
                  <c:v>0.74685999999999997</c:v>
                </c:pt>
                <c:pt idx="26">
                  <c:v>0.73316000000000003</c:v>
                </c:pt>
                <c:pt idx="27">
                  <c:v>0.71950000000000003</c:v>
                </c:pt>
                <c:pt idx="28">
                  <c:v>0.70591000000000004</c:v>
                </c:pt>
                <c:pt idx="29">
                  <c:v>0.69188000000000005</c:v>
                </c:pt>
                <c:pt idx="30">
                  <c:v>0.67891000000000001</c:v>
                </c:pt>
                <c:pt idx="31">
                  <c:v>0.66547000000000001</c:v>
                </c:pt>
                <c:pt idx="32">
                  <c:v>0.65308999999999995</c:v>
                </c:pt>
                <c:pt idx="33">
                  <c:v>0.64075000000000004</c:v>
                </c:pt>
                <c:pt idx="34">
                  <c:v>0.62878999999999996</c:v>
                </c:pt>
                <c:pt idx="35">
                  <c:v>0.61853999999999998</c:v>
                </c:pt>
                <c:pt idx="36">
                  <c:v>0.60618000000000005</c:v>
                </c:pt>
                <c:pt idx="37">
                  <c:v>0.59499000000000002</c:v>
                </c:pt>
                <c:pt idx="38">
                  <c:v>0.58253999999999995</c:v>
                </c:pt>
                <c:pt idx="39">
                  <c:v>0.56993000000000005</c:v>
                </c:pt>
                <c:pt idx="40">
                  <c:v>0.55881999999999998</c:v>
                </c:pt>
                <c:pt idx="41">
                  <c:v>0.54657999999999995</c:v>
                </c:pt>
                <c:pt idx="42">
                  <c:v>0.53676999999999997</c:v>
                </c:pt>
                <c:pt idx="43">
                  <c:v>0.52695000000000003</c:v>
                </c:pt>
                <c:pt idx="44">
                  <c:v>0.51800999999999997</c:v>
                </c:pt>
                <c:pt idx="45">
                  <c:v>0.5</c:v>
                </c:pt>
                <c:pt idx="46">
                  <c:v>0.49608999999999998</c:v>
                </c:pt>
                <c:pt idx="47">
                  <c:v>0.49414000000000002</c:v>
                </c:pt>
                <c:pt idx="48">
                  <c:v>0.49804999999999999</c:v>
                </c:pt>
                <c:pt idx="49">
                  <c:v>0.48242000000000002</c:v>
                </c:pt>
                <c:pt idx="50">
                  <c:v>0.46833999999999998</c:v>
                </c:pt>
                <c:pt idx="51">
                  <c:v>0.46149000000000001</c:v>
                </c:pt>
                <c:pt idx="52">
                  <c:v>0.45341999999999999</c:v>
                </c:pt>
                <c:pt idx="53">
                  <c:v>0.44584000000000001</c:v>
                </c:pt>
                <c:pt idx="54">
                  <c:v>0.43717</c:v>
                </c:pt>
                <c:pt idx="55">
                  <c:v>0.42749999999999999</c:v>
                </c:pt>
                <c:pt idx="56">
                  <c:v>0.42083999999999999</c:v>
                </c:pt>
                <c:pt idx="57">
                  <c:v>0.41683999999999999</c:v>
                </c:pt>
                <c:pt idx="58">
                  <c:v>0.40854000000000001</c:v>
                </c:pt>
                <c:pt idx="59">
                  <c:v>0.40383999999999998</c:v>
                </c:pt>
                <c:pt idx="60">
                  <c:v>0.39727000000000001</c:v>
                </c:pt>
                <c:pt idx="61">
                  <c:v>0.39206999999999997</c:v>
                </c:pt>
                <c:pt idx="62">
                  <c:v>0.38538</c:v>
                </c:pt>
                <c:pt idx="63">
                  <c:v>0.37951000000000001</c:v>
                </c:pt>
                <c:pt idx="64">
                  <c:v>0.37325999999999998</c:v>
                </c:pt>
                <c:pt idx="65">
                  <c:v>0.36681000000000002</c:v>
                </c:pt>
                <c:pt idx="66">
                  <c:v>0.36186000000000001</c:v>
                </c:pt>
                <c:pt idx="67">
                  <c:v>0.35722999999999999</c:v>
                </c:pt>
                <c:pt idx="68">
                  <c:v>0.35274</c:v>
                </c:pt>
                <c:pt idx="69">
                  <c:v>0.34738000000000002</c:v>
                </c:pt>
                <c:pt idx="70">
                  <c:v>0.34326000000000001</c:v>
                </c:pt>
                <c:pt idx="71">
                  <c:v>0.33906999999999998</c:v>
                </c:pt>
                <c:pt idx="72">
                  <c:v>0.33509</c:v>
                </c:pt>
                <c:pt idx="73">
                  <c:v>0.32972000000000001</c:v>
                </c:pt>
                <c:pt idx="74">
                  <c:v>0.32540000000000002</c:v>
                </c:pt>
                <c:pt idx="75">
                  <c:v>0.32189000000000001</c:v>
                </c:pt>
                <c:pt idx="76">
                  <c:v>0.31808999999999998</c:v>
                </c:pt>
                <c:pt idx="77">
                  <c:v>0.31441000000000002</c:v>
                </c:pt>
                <c:pt idx="78">
                  <c:v>0.31083</c:v>
                </c:pt>
                <c:pt idx="79">
                  <c:v>0.3075</c:v>
                </c:pt>
                <c:pt idx="80">
                  <c:v>0.30418000000000001</c:v>
                </c:pt>
                <c:pt idx="81">
                  <c:v>0.30098000000000003</c:v>
                </c:pt>
                <c:pt idx="82">
                  <c:v>0.29792000000000002</c:v>
                </c:pt>
                <c:pt idx="83">
                  <c:v>0.29465999999999998</c:v>
                </c:pt>
                <c:pt idx="84">
                  <c:v>0.29092000000000001</c:v>
                </c:pt>
                <c:pt idx="85">
                  <c:v>0.28853000000000001</c:v>
                </c:pt>
                <c:pt idx="86">
                  <c:v>0.28519</c:v>
                </c:pt>
                <c:pt idx="87">
                  <c:v>0.28215000000000001</c:v>
                </c:pt>
                <c:pt idx="88">
                  <c:v>0.27978999999999998</c:v>
                </c:pt>
                <c:pt idx="89">
                  <c:v>0.27759</c:v>
                </c:pt>
                <c:pt idx="90">
                  <c:v>0.27562999999999999</c:v>
                </c:pt>
                <c:pt idx="91">
                  <c:v>0.27279999999999999</c:v>
                </c:pt>
                <c:pt idx="92">
                  <c:v>0.27034999999999998</c:v>
                </c:pt>
                <c:pt idx="93">
                  <c:v>0.26719999999999999</c:v>
                </c:pt>
                <c:pt idx="94">
                  <c:v>0.26533000000000001</c:v>
                </c:pt>
                <c:pt idx="95">
                  <c:v>0.26236999999999999</c:v>
                </c:pt>
                <c:pt idx="96">
                  <c:v>0.26018999999999998</c:v>
                </c:pt>
                <c:pt idx="97">
                  <c:v>0.25833</c:v>
                </c:pt>
                <c:pt idx="98">
                  <c:v>0.25574999999999998</c:v>
                </c:pt>
                <c:pt idx="99">
                  <c:v>0.25495000000000001</c:v>
                </c:pt>
                <c:pt idx="100">
                  <c:v>0.25319000000000003</c:v>
                </c:pt>
                <c:pt idx="101">
                  <c:v>0.25119000000000002</c:v>
                </c:pt>
                <c:pt idx="102">
                  <c:v>0.24840999999999999</c:v>
                </c:pt>
                <c:pt idx="103">
                  <c:v>0.24701999999999999</c:v>
                </c:pt>
                <c:pt idx="104">
                  <c:v>0.24421999999999999</c:v>
                </c:pt>
                <c:pt idx="105">
                  <c:v>0.24332000000000001</c:v>
                </c:pt>
                <c:pt idx="106">
                  <c:v>0.24149999999999999</c:v>
                </c:pt>
                <c:pt idx="107">
                  <c:v>0.24027000000000001</c:v>
                </c:pt>
                <c:pt idx="108">
                  <c:v>0.2387</c:v>
                </c:pt>
                <c:pt idx="109">
                  <c:v>0.23787</c:v>
                </c:pt>
                <c:pt idx="110">
                  <c:v>0.22988</c:v>
                </c:pt>
                <c:pt idx="111">
                  <c:v>0.22267000000000001</c:v>
                </c:pt>
                <c:pt idx="112">
                  <c:v>0.21387</c:v>
                </c:pt>
                <c:pt idx="113">
                  <c:v>0.20965</c:v>
                </c:pt>
                <c:pt idx="114">
                  <c:v>0.20421</c:v>
                </c:pt>
                <c:pt idx="115">
                  <c:v>0.19872999999999999</c:v>
                </c:pt>
                <c:pt idx="116">
                  <c:v>0.19417000000000001</c:v>
                </c:pt>
                <c:pt idx="117">
                  <c:v>0.19067999999999999</c:v>
                </c:pt>
                <c:pt idx="118">
                  <c:v>0.18733</c:v>
                </c:pt>
                <c:pt idx="119">
                  <c:v>0.18404999999999999</c:v>
                </c:pt>
                <c:pt idx="120">
                  <c:v>0.18096999999999999</c:v>
                </c:pt>
                <c:pt idx="121">
                  <c:v>0.17782000000000001</c:v>
                </c:pt>
                <c:pt idx="122">
                  <c:v>0.17509</c:v>
                </c:pt>
                <c:pt idx="123">
                  <c:v>0.17149</c:v>
                </c:pt>
                <c:pt idx="124">
                  <c:v>0.16708999999999999</c:v>
                </c:pt>
                <c:pt idx="125">
                  <c:v>0.16614999999999999</c:v>
                </c:pt>
                <c:pt idx="126">
                  <c:v>0.16667999999999999</c:v>
                </c:pt>
                <c:pt idx="127">
                  <c:v>0.16567999999999999</c:v>
                </c:pt>
                <c:pt idx="128">
                  <c:v>0.16439000000000001</c:v>
                </c:pt>
                <c:pt idx="129">
                  <c:v>0.16195000000000001</c:v>
                </c:pt>
                <c:pt idx="130">
                  <c:v>0.16031000000000001</c:v>
                </c:pt>
                <c:pt idx="131">
                  <c:v>0.15883</c:v>
                </c:pt>
                <c:pt idx="132">
                  <c:v>0.15711</c:v>
                </c:pt>
                <c:pt idx="133">
                  <c:v>0.15559999999999999</c:v>
                </c:pt>
                <c:pt idx="134">
                  <c:v>0.15415000000000001</c:v>
                </c:pt>
                <c:pt idx="135">
                  <c:v>0.15329000000000001</c:v>
                </c:pt>
                <c:pt idx="136">
                  <c:v>0.15226999999999999</c:v>
                </c:pt>
                <c:pt idx="137">
                  <c:v>0.15076000000000001</c:v>
                </c:pt>
                <c:pt idx="138">
                  <c:v>0.14871000000000001</c:v>
                </c:pt>
                <c:pt idx="139">
                  <c:v>0.14887</c:v>
                </c:pt>
                <c:pt idx="140">
                  <c:v>0.14763000000000001</c:v>
                </c:pt>
                <c:pt idx="141">
                  <c:v>0.14615</c:v>
                </c:pt>
                <c:pt idx="142">
                  <c:v>0.14593999999999999</c:v>
                </c:pt>
                <c:pt idx="143">
                  <c:v>0.14444000000000001</c:v>
                </c:pt>
                <c:pt idx="144">
                  <c:v>0.14363999999999999</c:v>
                </c:pt>
                <c:pt idx="145">
                  <c:v>0.14374999999999999</c:v>
                </c:pt>
                <c:pt idx="146">
                  <c:v>0.14302000000000001</c:v>
                </c:pt>
                <c:pt idx="147">
                  <c:v>0.14126</c:v>
                </c:pt>
                <c:pt idx="148">
                  <c:v>0.14147999999999999</c:v>
                </c:pt>
                <c:pt idx="149">
                  <c:v>0.14035</c:v>
                </c:pt>
                <c:pt idx="150">
                  <c:v>0.13996</c:v>
                </c:pt>
                <c:pt idx="151">
                  <c:v>0.13891999999999999</c:v>
                </c:pt>
                <c:pt idx="152">
                  <c:v>0.13835</c:v>
                </c:pt>
                <c:pt idx="153">
                  <c:v>0.13771</c:v>
                </c:pt>
                <c:pt idx="154">
                  <c:v>0.13768</c:v>
                </c:pt>
                <c:pt idx="155">
                  <c:v>0.13750999999999999</c:v>
                </c:pt>
                <c:pt idx="156">
                  <c:v>0.13517999999999999</c:v>
                </c:pt>
                <c:pt idx="157">
                  <c:v>0.13694999999999999</c:v>
                </c:pt>
                <c:pt idx="158">
                  <c:v>0.13616</c:v>
                </c:pt>
                <c:pt idx="159">
                  <c:v>0.13550999999999999</c:v>
                </c:pt>
                <c:pt idx="160">
                  <c:v>0.13521</c:v>
                </c:pt>
                <c:pt idx="161">
                  <c:v>0.13397999999999999</c:v>
                </c:pt>
                <c:pt idx="162">
                  <c:v>0.13408999999999999</c:v>
                </c:pt>
                <c:pt idx="163">
                  <c:v>0.13450000000000001</c:v>
                </c:pt>
                <c:pt idx="164">
                  <c:v>0.13400999999999999</c:v>
                </c:pt>
                <c:pt idx="165">
                  <c:v>0.13331999999999999</c:v>
                </c:pt>
                <c:pt idx="166">
                  <c:v>0.13333</c:v>
                </c:pt>
                <c:pt idx="167">
                  <c:v>0.13250999999999999</c:v>
                </c:pt>
                <c:pt idx="168">
                  <c:v>0.12598999999999999</c:v>
                </c:pt>
                <c:pt idx="169">
                  <c:v>0.128</c:v>
                </c:pt>
                <c:pt idx="170">
                  <c:v>0.12845999999999999</c:v>
                </c:pt>
                <c:pt idx="171">
                  <c:v>0.12773000000000001</c:v>
                </c:pt>
                <c:pt idx="172">
                  <c:v>0.12826000000000001</c:v>
                </c:pt>
                <c:pt idx="173">
                  <c:v>0.12851000000000001</c:v>
                </c:pt>
                <c:pt idx="174">
                  <c:v>0.12783</c:v>
                </c:pt>
                <c:pt idx="175">
                  <c:v>0.12709000000000001</c:v>
                </c:pt>
                <c:pt idx="176">
                  <c:v>0.12731000000000001</c:v>
                </c:pt>
                <c:pt idx="177">
                  <c:v>0.12731000000000001</c:v>
                </c:pt>
                <c:pt idx="178">
                  <c:v>0.12703</c:v>
                </c:pt>
                <c:pt idx="179">
                  <c:v>0.12728</c:v>
                </c:pt>
                <c:pt idx="180">
                  <c:v>0.12609000000000001</c:v>
                </c:pt>
                <c:pt idx="181">
                  <c:v>0.12676000000000001</c:v>
                </c:pt>
                <c:pt idx="182">
                  <c:v>0.12698999999999999</c:v>
                </c:pt>
                <c:pt idx="183">
                  <c:v>0.1258</c:v>
                </c:pt>
                <c:pt idx="184">
                  <c:v>0.12619</c:v>
                </c:pt>
                <c:pt idx="185">
                  <c:v>0.12545999999999999</c:v>
                </c:pt>
                <c:pt idx="186">
                  <c:v>0.12529999999999999</c:v>
                </c:pt>
                <c:pt idx="187">
                  <c:v>0.12496</c:v>
                </c:pt>
                <c:pt idx="188">
                  <c:v>0.12465</c:v>
                </c:pt>
                <c:pt idx="189">
                  <c:v>0.12463</c:v>
                </c:pt>
                <c:pt idx="190">
                  <c:v>0.1246</c:v>
                </c:pt>
                <c:pt idx="191">
                  <c:v>0.12397</c:v>
                </c:pt>
                <c:pt idx="192">
                  <c:v>0.12383</c:v>
                </c:pt>
                <c:pt idx="193">
                  <c:v>0.12288</c:v>
                </c:pt>
                <c:pt idx="194">
                  <c:v>0.12262000000000001</c:v>
                </c:pt>
                <c:pt idx="195">
                  <c:v>0.12298000000000001</c:v>
                </c:pt>
                <c:pt idx="196">
                  <c:v>0.12188</c:v>
                </c:pt>
                <c:pt idx="197">
                  <c:v>0.12257999999999999</c:v>
                </c:pt>
                <c:pt idx="198">
                  <c:v>0.12353</c:v>
                </c:pt>
                <c:pt idx="199">
                  <c:v>0.12303</c:v>
                </c:pt>
                <c:pt idx="200">
                  <c:v>0.12207</c:v>
                </c:pt>
                <c:pt idx="201">
                  <c:v>0.12207</c:v>
                </c:pt>
                <c:pt idx="202">
                  <c:v>0.12214999999999999</c:v>
                </c:pt>
                <c:pt idx="203">
                  <c:v>0.12181</c:v>
                </c:pt>
                <c:pt idx="204">
                  <c:v>0.12151000000000001</c:v>
                </c:pt>
                <c:pt idx="205">
                  <c:v>0.1215</c:v>
                </c:pt>
                <c:pt idx="206">
                  <c:v>0.12232999999999999</c:v>
                </c:pt>
                <c:pt idx="207">
                  <c:v>0.12196</c:v>
                </c:pt>
                <c:pt idx="208">
                  <c:v>0.12275999999999999</c:v>
                </c:pt>
                <c:pt idx="209">
                  <c:v>0.12212000000000001</c:v>
                </c:pt>
                <c:pt idx="210">
                  <c:v>0.12225999999999999</c:v>
                </c:pt>
                <c:pt idx="211">
                  <c:v>0.12282</c:v>
                </c:pt>
                <c:pt idx="212">
                  <c:v>0.12255000000000001</c:v>
                </c:pt>
                <c:pt idx="213">
                  <c:v>0.12196</c:v>
                </c:pt>
                <c:pt idx="214">
                  <c:v>0.12139</c:v>
                </c:pt>
                <c:pt idx="215">
                  <c:v>0.12125</c:v>
                </c:pt>
                <c:pt idx="216">
                  <c:v>0.12082</c:v>
                </c:pt>
                <c:pt idx="217">
                  <c:v>0.12164999999999999</c:v>
                </c:pt>
                <c:pt idx="218">
                  <c:v>0.12191</c:v>
                </c:pt>
                <c:pt idx="219">
                  <c:v>0.12078</c:v>
                </c:pt>
                <c:pt idx="220">
                  <c:v>0.1215</c:v>
                </c:pt>
                <c:pt idx="221">
                  <c:v>0.12114999999999999</c:v>
                </c:pt>
                <c:pt idx="222">
                  <c:v>0.11939</c:v>
                </c:pt>
                <c:pt idx="223">
                  <c:v>0.12002</c:v>
                </c:pt>
                <c:pt idx="224">
                  <c:v>0.12073</c:v>
                </c:pt>
                <c:pt idx="225">
                  <c:v>0.1201</c:v>
                </c:pt>
                <c:pt idx="226">
                  <c:v>0.12014</c:v>
                </c:pt>
                <c:pt idx="227">
                  <c:v>0.12005</c:v>
                </c:pt>
                <c:pt idx="228">
                  <c:v>0.12089</c:v>
                </c:pt>
                <c:pt idx="229">
                  <c:v>0.12023</c:v>
                </c:pt>
                <c:pt idx="230">
                  <c:v>0.11947000000000001</c:v>
                </c:pt>
                <c:pt idx="231">
                  <c:v>0.11842999999999999</c:v>
                </c:pt>
                <c:pt idx="232">
                  <c:v>0.11833</c:v>
                </c:pt>
                <c:pt idx="233">
                  <c:v>0.11903</c:v>
                </c:pt>
                <c:pt idx="234">
                  <c:v>0.1201</c:v>
                </c:pt>
                <c:pt idx="235">
                  <c:v>0.12075</c:v>
                </c:pt>
                <c:pt idx="236">
                  <c:v>0.11854000000000001</c:v>
                </c:pt>
                <c:pt idx="237">
                  <c:v>0.11763999999999999</c:v>
                </c:pt>
                <c:pt idx="238">
                  <c:v>0.11592</c:v>
                </c:pt>
                <c:pt idx="239">
                  <c:v>0.11799</c:v>
                </c:pt>
                <c:pt idx="240">
                  <c:v>0.11708</c:v>
                </c:pt>
                <c:pt idx="241">
                  <c:v>0.11778</c:v>
                </c:pt>
                <c:pt idx="242">
                  <c:v>0.11748</c:v>
                </c:pt>
                <c:pt idx="243">
                  <c:v>0.11735</c:v>
                </c:pt>
                <c:pt idx="244">
                  <c:v>0.11765</c:v>
                </c:pt>
                <c:pt idx="245">
                  <c:v>0.11804000000000001</c:v>
                </c:pt>
                <c:pt idx="246">
                  <c:v>0.11819</c:v>
                </c:pt>
                <c:pt idx="247">
                  <c:v>0.11889</c:v>
                </c:pt>
                <c:pt idx="248">
                  <c:v>0.11914</c:v>
                </c:pt>
                <c:pt idx="249">
                  <c:v>0.11840000000000001</c:v>
                </c:pt>
                <c:pt idx="250">
                  <c:v>0.11895</c:v>
                </c:pt>
                <c:pt idx="251">
                  <c:v>0.11885999999999999</c:v>
                </c:pt>
                <c:pt idx="252">
                  <c:v>0.1187</c:v>
                </c:pt>
                <c:pt idx="253">
                  <c:v>0.11924</c:v>
                </c:pt>
                <c:pt idx="254">
                  <c:v>0.11931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02-416C-9B82-CED5AD4D0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951376"/>
        <c:axId val="569952552"/>
      </c:scatterChart>
      <c:valAx>
        <c:axId val="569951376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 i="0" baseline="0">
                    <a:effectLst/>
                  </a:rPr>
                  <a:t>AC square wave rms voltage, Vrms</a:t>
                </a:r>
                <a:endParaRPr lang="en-US" sz="1200" b="0">
                  <a:effectLst/>
                </a:endParaRPr>
              </a:p>
            </c:rich>
          </c:tx>
          <c:layout>
            <c:manualLayout>
              <c:xMode val="edge"/>
              <c:yMode val="edge"/>
              <c:x val="0.25730148753404569"/>
              <c:y val="0.9173032812159225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52552"/>
        <c:crosses val="autoZero"/>
        <c:crossBetween val="midCat"/>
      </c:valAx>
      <c:valAx>
        <c:axId val="56995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retardance (waves)</a:t>
                </a:r>
              </a:p>
            </c:rich>
          </c:tx>
          <c:layout>
            <c:manualLayout>
              <c:xMode val="edge"/>
              <c:yMode val="edge"/>
              <c:x val="1.5387737123682922E-2"/>
              <c:y val="0.3246285475060603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513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704119794579415"/>
          <c:y val="0.14185637253795993"/>
          <c:w val="0.22943690806719555"/>
          <c:h val="0.1151411231189224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phase corrections required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7171296296296296"/>
          <c:w val="0.8515161854768154"/>
          <c:h val="0.66438283756197136"/>
        </c:manualLayout>
      </c:layout>
      <c:scatterChart>
        <c:scatterStyle val="smoothMarker"/>
        <c:varyColors val="0"/>
        <c:ser>
          <c:idx val="2"/>
          <c:order val="0"/>
          <c:tx>
            <c:strRef>
              <c:f>Sheet1!$J$1</c:f>
              <c:strCache>
                <c:ptCount val="1"/>
                <c:pt idx="0">
                  <c:v>f (rad)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Sheet1!$J$2:$J$113</c:f>
              <c:numCache>
                <c:formatCode>General</c:formatCode>
                <c:ptCount val="112"/>
                <c:pt idx="0">
                  <c:v>3.0279207713356397</c:v>
                </c:pt>
                <c:pt idx="1">
                  <c:v>3.0279207713356397</c:v>
                </c:pt>
                <c:pt idx="2">
                  <c:v>3.0279207713356397</c:v>
                </c:pt>
                <c:pt idx="3">
                  <c:v>3.0279207713356397</c:v>
                </c:pt>
                <c:pt idx="4">
                  <c:v>3.0279207713356397</c:v>
                </c:pt>
                <c:pt idx="5">
                  <c:v>3.0279207713356397</c:v>
                </c:pt>
                <c:pt idx="6">
                  <c:v>3.0279207713356397</c:v>
                </c:pt>
                <c:pt idx="7">
                  <c:v>3.031779128516165</c:v>
                </c:pt>
                <c:pt idx="8">
                  <c:v>3.0337598499975593</c:v>
                </c:pt>
                <c:pt idx="9">
                  <c:v>3.0399323899228543</c:v>
                </c:pt>
                <c:pt idx="10">
                  <c:v>3.0465033076795462</c:v>
                </c:pt>
                <c:pt idx="11">
                  <c:v>3.0585993180823614</c:v>
                </c:pt>
                <c:pt idx="12">
                  <c:v>3.0793554702109347</c:v>
                </c:pt>
                <c:pt idx="13">
                  <c:v>3.1122574470441338</c:v>
                </c:pt>
                <c:pt idx="14">
                  <c:v>3.1415926535897931</c:v>
                </c:pt>
                <c:pt idx="15">
                  <c:v>3.0223661497945029</c:v>
                </c:pt>
                <c:pt idx="16">
                  <c:v>2.8759916769059402</c:v>
                </c:pt>
                <c:pt idx="17">
                  <c:v>2.6919744407979822</c:v>
                </c:pt>
                <c:pt idx="18">
                  <c:v>2.4799177007130631</c:v>
                </c:pt>
                <c:pt idx="19">
                  <c:v>2.247910152344812</c:v>
                </c:pt>
                <c:pt idx="20">
                  <c:v>2.0040354284101731</c:v>
                </c:pt>
                <c:pt idx="21">
                  <c:v>1.7504204763763238</c:v>
                </c:pt>
                <c:pt idx="22">
                  <c:v>1.4925191451593205</c:v>
                </c:pt>
                <c:pt idx="23">
                  <c:v>1.2334682055603152</c:v>
                </c:pt>
                <c:pt idx="24">
                  <c:v>0.97606254669078374</c:v>
                </c:pt>
                <c:pt idx="25">
                  <c:v>0.72236828177370838</c:v>
                </c:pt>
                <c:pt idx="26">
                  <c:v>0.48227424499136995</c:v>
                </c:pt>
                <c:pt idx="27">
                  <c:v>0.2456278276165742</c:v>
                </c:pt>
                <c:pt idx="28">
                  <c:v>9.492791936853151E-2</c:v>
                </c:pt>
                <c:pt idx="29">
                  <c:v>0.27793709995732385</c:v>
                </c:pt>
                <c:pt idx="30">
                  <c:v>0.50312451103548228</c:v>
                </c:pt>
                <c:pt idx="31">
                  <c:v>0.72368091977198912</c:v>
                </c:pt>
                <c:pt idx="32">
                  <c:v>0.93245096313323905</c:v>
                </c:pt>
                <c:pt idx="33">
                  <c:v>1.1294696231871644</c:v>
                </c:pt>
                <c:pt idx="34">
                  <c:v>1.3147415340101882</c:v>
                </c:pt>
                <c:pt idx="35">
                  <c:v>1.4898146071634328</c:v>
                </c:pt>
                <c:pt idx="36">
                  <c:v>1.6559468527667291</c:v>
                </c:pt>
                <c:pt idx="37">
                  <c:v>1.8145436199505434</c:v>
                </c:pt>
                <c:pt idx="38">
                  <c:v>1.9669170210570652</c:v>
                </c:pt>
                <c:pt idx="39">
                  <c:v>2.1141989009352287</c:v>
                </c:pt>
                <c:pt idx="40">
                  <c:v>2.2543312946878844</c:v>
                </c:pt>
                <c:pt idx="41">
                  <c:v>2.3899786932527318</c:v>
                </c:pt>
                <c:pt idx="42">
                  <c:v>2.5221486941914928</c:v>
                </c:pt>
                <c:pt idx="43">
                  <c:v>2.6480573172800259</c:v>
                </c:pt>
                <c:pt idx="44">
                  <c:v>2.7698321667658679</c:v>
                </c:pt>
                <c:pt idx="45">
                  <c:v>2.8817137326119227</c:v>
                </c:pt>
                <c:pt idx="46">
                  <c:v>2.9801904421849121</c:v>
                </c:pt>
                <c:pt idx="47">
                  <c:v>3.0409071008994712</c:v>
                </c:pt>
                <c:pt idx="48">
                  <c:v>3.0063007810832238</c:v>
                </c:pt>
                <c:pt idx="49">
                  <c:v>2.9304113418830422</c:v>
                </c:pt>
                <c:pt idx="50">
                  <c:v>2.8515038727676005</c:v>
                </c:pt>
                <c:pt idx="51">
                  <c:v>2.7633930899446888</c:v>
                </c:pt>
                <c:pt idx="52">
                  <c:v>2.6821826830424502</c:v>
                </c:pt>
                <c:pt idx="53">
                  <c:v>2.6058060422251144</c:v>
                </c:pt>
                <c:pt idx="54">
                  <c:v>2.5314412218684503</c:v>
                </c:pt>
                <c:pt idx="55">
                  <c:v>2.4629056068634774</c:v>
                </c:pt>
                <c:pt idx="56">
                  <c:v>2.3975449996231779</c:v>
                </c:pt>
                <c:pt idx="57">
                  <c:v>2.335344884538562</c:v>
                </c:pt>
                <c:pt idx="58">
                  <c:v>2.2766572762754329</c:v>
                </c:pt>
                <c:pt idx="59">
                  <c:v>2.2224836525099416</c:v>
                </c:pt>
                <c:pt idx="60">
                  <c:v>2.1687712088921849</c:v>
                </c:pt>
                <c:pt idx="61">
                  <c:v>2.1192194051496136</c:v>
                </c:pt>
                <c:pt idx="62">
                  <c:v>2.0740626278691199</c:v>
                </c:pt>
                <c:pt idx="63">
                  <c:v>2.0304812796915144</c:v>
                </c:pt>
                <c:pt idx="64">
                  <c:v>1.9880559563859852</c:v>
                </c:pt>
                <c:pt idx="65">
                  <c:v>1.9498767096795435</c:v>
                </c:pt>
                <c:pt idx="66">
                  <c:v>1.9118144068168927</c:v>
                </c:pt>
                <c:pt idx="67">
                  <c:v>1.8769590690570841</c:v>
                </c:pt>
                <c:pt idx="68">
                  <c:v>1.8422610479173565</c:v>
                </c:pt>
                <c:pt idx="69">
                  <c:v>1.8094406536220822</c:v>
                </c:pt>
                <c:pt idx="70">
                  <c:v>1.7779765606880111</c:v>
                </c:pt>
                <c:pt idx="71">
                  <c:v>1.7473731380743147</c:v>
                </c:pt>
                <c:pt idx="72">
                  <c:v>1.7186713152253539</c:v>
                </c:pt>
                <c:pt idx="73">
                  <c:v>1.6900917270482805</c:v>
                </c:pt>
                <c:pt idx="74">
                  <c:v>1.6644111309146723</c:v>
                </c:pt>
                <c:pt idx="75">
                  <c:v>1.6394375547447857</c:v>
                </c:pt>
                <c:pt idx="76">
                  <c:v>1.6134329141431247</c:v>
                </c:pt>
                <c:pt idx="77">
                  <c:v>1.5896031953711223</c:v>
                </c:pt>
                <c:pt idx="78">
                  <c:v>1.5659987335347498</c:v>
                </c:pt>
                <c:pt idx="79">
                  <c:v>1.5434315469351885</c:v>
                </c:pt>
                <c:pt idx="80">
                  <c:v>1.521724719920833</c:v>
                </c:pt>
                <c:pt idx="81">
                  <c:v>1.4995641219504192</c:v>
                </c:pt>
                <c:pt idx="82">
                  <c:v>1.4784468592521085</c:v>
                </c:pt>
                <c:pt idx="83">
                  <c:v>1.4583688861352178</c:v>
                </c:pt>
                <c:pt idx="84">
                  <c:v>1.4388952348129831</c:v>
                </c:pt>
                <c:pt idx="85">
                  <c:v>1.4200228320450039</c:v>
                </c:pt>
                <c:pt idx="86">
                  <c:v>1.4015319133844302</c:v>
                </c:pt>
                <c:pt idx="87">
                  <c:v>1.3827637611466772</c:v>
                </c:pt>
                <c:pt idx="88">
                  <c:v>1.3656835031184975</c:v>
                </c:pt>
                <c:pt idx="89">
                  <c:v>1.3621725166535676</c:v>
                </c:pt>
                <c:pt idx="90">
                  <c:v>1.2682452823543167</c:v>
                </c:pt>
                <c:pt idx="91">
                  <c:v>1.196974927185761</c:v>
                </c:pt>
                <c:pt idx="92">
                  <c:v>1.1345769061172006</c:v>
                </c:pt>
                <c:pt idx="93">
                  <c:v>1.0781217649834633</c:v>
                </c:pt>
                <c:pt idx="94">
                  <c:v>1.0266899711282469</c:v>
                </c:pt>
                <c:pt idx="95">
                  <c:v>0.98085757268946394</c:v>
                </c:pt>
                <c:pt idx="96">
                  <c:v>0.93863950720429812</c:v>
                </c:pt>
                <c:pt idx="97">
                  <c:v>0.89946870940766344</c:v>
                </c:pt>
                <c:pt idx="98">
                  <c:v>0.86384983848815766</c:v>
                </c:pt>
                <c:pt idx="99">
                  <c:v>0.83031707578430813</c:v>
                </c:pt>
                <c:pt idx="100">
                  <c:v>0.79962374335590491</c:v>
                </c:pt>
                <c:pt idx="101">
                  <c:v>0.77138037696470552</c:v>
                </c:pt>
                <c:pt idx="102">
                  <c:v>0.74482950810901205</c:v>
                </c:pt>
                <c:pt idx="103">
                  <c:v>0.72042551567241264</c:v>
                </c:pt>
                <c:pt idx="104">
                  <c:v>0.69699766406869379</c:v>
                </c:pt>
                <c:pt idx="105">
                  <c:v>0.67530327061474937</c:v>
                </c:pt>
                <c:pt idx="106">
                  <c:v>0.65512239880201495</c:v>
                </c:pt>
                <c:pt idx="107">
                  <c:v>0.63548308465580328</c:v>
                </c:pt>
                <c:pt idx="108">
                  <c:v>0.61790588111073874</c:v>
                </c:pt>
                <c:pt idx="109">
                  <c:v>0.60064315360657206</c:v>
                </c:pt>
                <c:pt idx="110">
                  <c:v>0.58410334483442039</c:v>
                </c:pt>
                <c:pt idx="111">
                  <c:v>0.56913455032508908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99-4519-A1BD-5BC8F21DAE0E}"/>
            </c:ext>
          </c:extLst>
        </c:ser>
        <c:ser>
          <c:idx val="3"/>
          <c:order val="1"/>
          <c:tx>
            <c:strRef>
              <c:f>Sheet1!$K$1</c:f>
              <c:strCache>
                <c:ptCount val="1"/>
                <c:pt idx="0">
                  <c:v>d with phase corr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Sheet1!$K$2:$K$113</c:f>
              <c:numCache>
                <c:formatCode>General</c:formatCode>
                <c:ptCount val="112"/>
                <c:pt idx="0">
                  <c:v>3.0538934304633027</c:v>
                </c:pt>
                <c:pt idx="1">
                  <c:v>3.0538934304633027</c:v>
                </c:pt>
                <c:pt idx="2">
                  <c:v>3.0538934304633027</c:v>
                </c:pt>
                <c:pt idx="3">
                  <c:v>3.0538934304633027</c:v>
                </c:pt>
                <c:pt idx="4">
                  <c:v>3.0538934304633027</c:v>
                </c:pt>
                <c:pt idx="5">
                  <c:v>3.0538934304633027</c:v>
                </c:pt>
                <c:pt idx="6">
                  <c:v>3.0538934304633027</c:v>
                </c:pt>
                <c:pt idx="7">
                  <c:v>3.0500350732827775</c:v>
                </c:pt>
                <c:pt idx="8">
                  <c:v>3.0480543518013832</c:v>
                </c:pt>
                <c:pt idx="9">
                  <c:v>3.0418818118760882</c:v>
                </c:pt>
                <c:pt idx="10">
                  <c:v>3.0353108941193963</c:v>
                </c:pt>
                <c:pt idx="11">
                  <c:v>3.0232148837165811</c:v>
                </c:pt>
                <c:pt idx="12">
                  <c:v>3.0024587315880078</c:v>
                </c:pt>
                <c:pt idx="13">
                  <c:v>2.9695567547548087</c:v>
                </c:pt>
                <c:pt idx="14">
                  <c:v>2.9402215482091494</c:v>
                </c:pt>
                <c:pt idx="15">
                  <c:v>3.0594480520044396</c:v>
                </c:pt>
                <c:pt idx="16">
                  <c:v>3.2058225248930023</c:v>
                </c:pt>
                <c:pt idx="17">
                  <c:v>3.3898397610009603</c:v>
                </c:pt>
                <c:pt idx="18">
                  <c:v>3.6018965010858794</c:v>
                </c:pt>
                <c:pt idx="19">
                  <c:v>3.8339040494541305</c:v>
                </c:pt>
                <c:pt idx="20">
                  <c:v>4.0777787733887694</c:v>
                </c:pt>
                <c:pt idx="21">
                  <c:v>4.3313937254226182</c:v>
                </c:pt>
                <c:pt idx="22">
                  <c:v>4.5892950566396218</c:v>
                </c:pt>
                <c:pt idx="23">
                  <c:v>4.8483459962386277</c:v>
                </c:pt>
                <c:pt idx="24">
                  <c:v>5.1057516551081585</c:v>
                </c:pt>
                <c:pt idx="25">
                  <c:v>5.3594459200252338</c:v>
                </c:pt>
                <c:pt idx="26">
                  <c:v>5.5995399568075728</c:v>
                </c:pt>
                <c:pt idx="27">
                  <c:v>5.8361863741823683</c:v>
                </c:pt>
                <c:pt idx="28">
                  <c:v>5.9868862824304108</c:v>
                </c:pt>
                <c:pt idx="29">
                  <c:v>5.8038771018416186</c:v>
                </c:pt>
                <c:pt idx="30">
                  <c:v>5.5786896907634604</c:v>
                </c:pt>
                <c:pt idx="31">
                  <c:v>5.3581332820269534</c:v>
                </c:pt>
                <c:pt idx="32">
                  <c:v>5.1493632386657033</c:v>
                </c:pt>
                <c:pt idx="33">
                  <c:v>4.9523445786117781</c:v>
                </c:pt>
                <c:pt idx="34">
                  <c:v>4.7670726677887547</c:v>
                </c:pt>
                <c:pt idx="35">
                  <c:v>4.5919995946355101</c:v>
                </c:pt>
                <c:pt idx="36">
                  <c:v>4.4258673490322131</c:v>
                </c:pt>
                <c:pt idx="37">
                  <c:v>4.2672705818483987</c:v>
                </c:pt>
                <c:pt idx="38">
                  <c:v>4.1148971807418775</c:v>
                </c:pt>
                <c:pt idx="39">
                  <c:v>3.9676153008637138</c:v>
                </c:pt>
                <c:pt idx="40">
                  <c:v>3.8274829071110581</c:v>
                </c:pt>
                <c:pt idx="41">
                  <c:v>3.6918355085462107</c:v>
                </c:pt>
                <c:pt idx="42">
                  <c:v>3.5596655076074497</c:v>
                </c:pt>
                <c:pt idx="43">
                  <c:v>3.4337568845189166</c:v>
                </c:pt>
                <c:pt idx="44">
                  <c:v>3.3119820350330746</c:v>
                </c:pt>
                <c:pt idx="45">
                  <c:v>3.2001004691870198</c:v>
                </c:pt>
                <c:pt idx="46">
                  <c:v>3.1016237596140304</c:v>
                </c:pt>
                <c:pt idx="47">
                  <c:v>3.0409071008994712</c:v>
                </c:pt>
                <c:pt idx="48">
                  <c:v>3.0511868071334503</c:v>
                </c:pt>
                <c:pt idx="49">
                  <c:v>2.9558801770908443</c:v>
                </c:pt>
                <c:pt idx="50">
                  <c:v>2.8694225083566205</c:v>
                </c:pt>
                <c:pt idx="51">
                  <c:v>2.7768873413427753</c:v>
                </c:pt>
                <c:pt idx="52">
                  <c:v>2.6931615865263856</c:v>
                </c:pt>
                <c:pt idx="53">
                  <c:v>2.6151280405473907</c:v>
                </c:pt>
                <c:pt idx="54">
                  <c:v>2.539550040938138</c:v>
                </c:pt>
                <c:pt idx="55">
                  <c:v>2.4701297947320251</c:v>
                </c:pt>
                <c:pt idx="56">
                  <c:v>2.4040744228333089</c:v>
                </c:pt>
                <c:pt idx="57">
                  <c:v>2.3413146490327632</c:v>
                </c:pt>
                <c:pt idx="58">
                  <c:v>2.2821698698431261</c:v>
                </c:pt>
                <c:pt idx="59">
                  <c:v>2.2276235033421106</c:v>
                </c:pt>
                <c:pt idx="60">
                  <c:v>2.1735800645127545</c:v>
                </c:pt>
                <c:pt idx="61">
                  <c:v>2.1237516420634015</c:v>
                </c:pt>
                <c:pt idx="62">
                  <c:v>2.0783634089315011</c:v>
                </c:pt>
                <c:pt idx="63">
                  <c:v>2.034574974848649</c:v>
                </c:pt>
                <c:pt idx="64">
                  <c:v>1.9919616559581024</c:v>
                </c:pt>
                <c:pt idx="65">
                  <c:v>1.9536234806269206</c:v>
                </c:pt>
                <c:pt idx="66">
                  <c:v>1.9154114526125927</c:v>
                </c:pt>
                <c:pt idx="67">
                  <c:v>1.8804259548612947</c:v>
                </c:pt>
                <c:pt idx="68">
                  <c:v>1.8456044020350304</c:v>
                </c:pt>
                <c:pt idx="69">
                  <c:v>1.812672271194725</c:v>
                </c:pt>
                <c:pt idx="70">
                  <c:v>1.7811053765420879</c:v>
                </c:pt>
                <c:pt idx="71">
                  <c:v>1.7504057350794369</c:v>
                </c:pt>
                <c:pt idx="72">
                  <c:v>1.7216168292328462</c:v>
                </c:pt>
                <c:pt idx="73">
                  <c:v>1.6929533755279957</c:v>
                </c:pt>
                <c:pt idx="74">
                  <c:v>1.6671997029546477</c:v>
                </c:pt>
                <c:pt idx="75">
                  <c:v>1.6421570206666465</c:v>
                </c:pt>
                <c:pt idx="76">
                  <c:v>1.6160823660648274</c:v>
                </c:pt>
                <c:pt idx="77">
                  <c:v>1.5921901439334027</c:v>
                </c:pt>
                <c:pt idx="78">
                  <c:v>1.568525253856951</c:v>
                </c:pt>
                <c:pt idx="79">
                  <c:v>1.545901612301982</c:v>
                </c:pt>
                <c:pt idx="80">
                  <c:v>1.5241416445346343</c:v>
                </c:pt>
                <c:pt idx="81">
                  <c:v>1.5019279200276658</c:v>
                </c:pt>
                <c:pt idx="82">
                  <c:v>1.4807610459797014</c:v>
                </c:pt>
                <c:pt idx="83">
                  <c:v>1.4606367841063992</c:v>
                </c:pt>
                <c:pt idx="84">
                  <c:v>1.4411190264533136</c:v>
                </c:pt>
                <c:pt idx="85">
                  <c:v>1.4222045937270715</c:v>
                </c:pt>
                <c:pt idx="86">
                  <c:v>1.4036731529739552</c:v>
                </c:pt>
                <c:pt idx="87">
                  <c:v>1.3848645144681631</c:v>
                </c:pt>
                <c:pt idx="88">
                  <c:v>1.3677479559610104</c:v>
                </c:pt>
                <c:pt idx="89">
                  <c:v>1.3642295704059848</c:v>
                </c:pt>
                <c:pt idx="90">
                  <c:v>1.2701118095253716</c:v>
                </c:pt>
                <c:pt idx="91">
                  <c:v>1.1987055161536744</c:v>
                </c:pt>
                <c:pt idx="92">
                  <c:v>1.1361938185998475</c:v>
                </c:pt>
                <c:pt idx="93">
                  <c:v>1.0796396702077975</c:v>
                </c:pt>
                <c:pt idx="94">
                  <c:v>1.0281205569353875</c:v>
                </c:pt>
                <c:pt idx="95">
                  <c:v>0.98221246082603131</c:v>
                </c:pt>
                <c:pt idx="96">
                  <c:v>0.93992629398770133</c:v>
                </c:pt>
                <c:pt idx="97">
                  <c:v>0.9006936059807038</c:v>
                </c:pt>
                <c:pt idx="98">
                  <c:v>0.86501946786389161</c:v>
                </c:pt>
                <c:pt idx="99">
                  <c:v>0.83143550030010216</c:v>
                </c:pt>
                <c:pt idx="100">
                  <c:v>0.80069596006048505</c:v>
                </c:pt>
                <c:pt idx="101">
                  <c:v>0.77241060225354174</c:v>
                </c:pt>
                <c:pt idx="102">
                  <c:v>0.74582069639563431</c:v>
                </c:pt>
                <c:pt idx="103">
                  <c:v>0.7213811799800689</c:v>
                </c:pt>
                <c:pt idx="104">
                  <c:v>0.69791953198274514</c:v>
                </c:pt>
                <c:pt idx="105">
                  <c:v>0.67619409906519312</c:v>
                </c:pt>
                <c:pt idx="106">
                  <c:v>0.6559845653921812</c:v>
                </c:pt>
                <c:pt idx="107">
                  <c:v>0.63631754706704602</c:v>
                </c:pt>
                <c:pt idx="108">
                  <c:v>0.61871570004708498</c:v>
                </c:pt>
                <c:pt idx="109">
                  <c:v>0.60142890447021957</c:v>
                </c:pt>
                <c:pt idx="110">
                  <c:v>0.58486615622634486</c:v>
                </c:pt>
                <c:pt idx="111">
                  <c:v>0.5698766995266582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99-4519-A1BD-5BC8F21DAE0E}"/>
            </c:ext>
          </c:extLst>
        </c:ser>
        <c:ser>
          <c:idx val="4"/>
          <c:order val="2"/>
          <c:tx>
            <c:strRef>
              <c:f>Sheet1!$L$1</c:f>
              <c:strCache>
                <c:ptCount val="1"/>
                <c:pt idx="0">
                  <c:v>2nd phase corr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Sheet1!$L$2:$L$113</c:f>
              <c:numCache>
                <c:formatCode>General</c:formatCode>
                <c:ptCount val="112"/>
                <c:pt idx="0">
                  <c:v>8.9198791343975188</c:v>
                </c:pt>
                <c:pt idx="1">
                  <c:v>8.9198791343975188</c:v>
                </c:pt>
                <c:pt idx="2">
                  <c:v>8.9198791343975188</c:v>
                </c:pt>
                <c:pt idx="3">
                  <c:v>8.9198791343975188</c:v>
                </c:pt>
                <c:pt idx="4">
                  <c:v>8.9198791343975188</c:v>
                </c:pt>
                <c:pt idx="5">
                  <c:v>8.9198791343975188</c:v>
                </c:pt>
                <c:pt idx="6">
                  <c:v>8.9198791343975188</c:v>
                </c:pt>
                <c:pt idx="7">
                  <c:v>8.923737491578045</c:v>
                </c:pt>
                <c:pt idx="8">
                  <c:v>8.9257182130594384</c:v>
                </c:pt>
                <c:pt idx="9">
                  <c:v>8.9318907529847333</c:v>
                </c:pt>
                <c:pt idx="10">
                  <c:v>8.9384616707414253</c:v>
                </c:pt>
                <c:pt idx="11">
                  <c:v>8.9505576811442396</c:v>
                </c:pt>
                <c:pt idx="12">
                  <c:v>8.9713138332728128</c:v>
                </c:pt>
                <c:pt idx="13">
                  <c:v>9.0042158101060128</c:v>
                </c:pt>
                <c:pt idx="14">
                  <c:v>9.0335510166516713</c:v>
                </c:pt>
                <c:pt idx="15">
                  <c:v>8.9143245128563819</c:v>
                </c:pt>
                <c:pt idx="16">
                  <c:v>8.7679500399678183</c:v>
                </c:pt>
                <c:pt idx="17">
                  <c:v>8.5839328038598612</c:v>
                </c:pt>
                <c:pt idx="18">
                  <c:v>8.3718760637749412</c:v>
                </c:pt>
                <c:pt idx="19">
                  <c:v>8.1398685154066914</c:v>
                </c:pt>
                <c:pt idx="20">
                  <c:v>7.8959937914720522</c:v>
                </c:pt>
                <c:pt idx="21">
                  <c:v>7.6423788394382033</c:v>
                </c:pt>
                <c:pt idx="22">
                  <c:v>7.3844775082211997</c:v>
                </c:pt>
                <c:pt idx="23">
                  <c:v>7.1254265686221938</c:v>
                </c:pt>
                <c:pt idx="24">
                  <c:v>6.868020909752663</c:v>
                </c:pt>
                <c:pt idx="25">
                  <c:v>6.6143266448355877</c:v>
                </c:pt>
                <c:pt idx="26">
                  <c:v>6.3742326080532488</c:v>
                </c:pt>
                <c:pt idx="27">
                  <c:v>6.1375861906784532</c:v>
                </c:pt>
                <c:pt idx="28">
                  <c:v>5.9868862824304108</c:v>
                </c:pt>
                <c:pt idx="29">
                  <c:v>6.0048933419584944</c:v>
                </c:pt>
                <c:pt idx="30">
                  <c:v>5.7794087237419562</c:v>
                </c:pt>
                <c:pt idx="31">
                  <c:v>5.5585440034877616</c:v>
                </c:pt>
                <c:pt idx="32">
                  <c:v>5.3494574158357135</c:v>
                </c:pt>
                <c:pt idx="33">
                  <c:v>5.1521078726275</c:v>
                </c:pt>
                <c:pt idx="34">
                  <c:v>4.9664846631938335</c:v>
                </c:pt>
                <c:pt idx="35">
                  <c:v>4.7910299271741206</c:v>
                </c:pt>
                <c:pt idx="36">
                  <c:v>4.6244735156317933</c:v>
                </c:pt>
                <c:pt idx="37">
                  <c:v>4.4653930071359662</c:v>
                </c:pt>
                <c:pt idx="38">
                  <c:v>4.3124517153212683</c:v>
                </c:pt>
                <c:pt idx="39">
                  <c:v>4.1644808218928056</c:v>
                </c:pt>
                <c:pt idx="40">
                  <c:v>4.0235002306018748</c:v>
                </c:pt>
                <c:pt idx="41">
                  <c:v>3.8867500353118629</c:v>
                </c:pt>
                <c:pt idx="42">
                  <c:v>3.753059038062041</c:v>
                </c:pt>
                <c:pt idx="43">
                  <c:v>3.6249535232297019</c:v>
                </c:pt>
                <c:pt idx="44">
                  <c:v>3.4996105481508701</c:v>
                </c:pt>
                <c:pt idx="45">
                  <c:v>3.3812759024550818</c:v>
                </c:pt>
                <c:pt idx="46">
                  <c:v>3.2677931048475095</c:v>
                </c:pt>
                <c:pt idx="47">
                  <c:v>3.1415926535897931</c:v>
                </c:pt>
                <c:pt idx="48">
                  <c:v>3.0511868071334503</c:v>
                </c:pt>
                <c:pt idx="49">
                  <c:v>2.9558801770908443</c:v>
                </c:pt>
                <c:pt idx="50">
                  <c:v>2.8694225083566205</c:v>
                </c:pt>
                <c:pt idx="51">
                  <c:v>2.7768873413427753</c:v>
                </c:pt>
                <c:pt idx="52">
                  <c:v>2.6931615865263856</c:v>
                </c:pt>
                <c:pt idx="53">
                  <c:v>2.6151280405473907</c:v>
                </c:pt>
                <c:pt idx="54">
                  <c:v>2.539550040938138</c:v>
                </c:pt>
                <c:pt idx="55">
                  <c:v>2.4701297947320251</c:v>
                </c:pt>
                <c:pt idx="56">
                  <c:v>2.4040744228333089</c:v>
                </c:pt>
                <c:pt idx="57">
                  <c:v>2.3413146490327632</c:v>
                </c:pt>
                <c:pt idx="58">
                  <c:v>2.2821698698431261</c:v>
                </c:pt>
                <c:pt idx="59">
                  <c:v>2.2276235033421106</c:v>
                </c:pt>
                <c:pt idx="60">
                  <c:v>2.1735800645127545</c:v>
                </c:pt>
                <c:pt idx="61">
                  <c:v>2.1237516420634015</c:v>
                </c:pt>
                <c:pt idx="62">
                  <c:v>2.0783634089315011</c:v>
                </c:pt>
                <c:pt idx="63">
                  <c:v>2.034574974848649</c:v>
                </c:pt>
                <c:pt idx="64">
                  <c:v>1.9919616559581024</c:v>
                </c:pt>
                <c:pt idx="65">
                  <c:v>1.9536234806269206</c:v>
                </c:pt>
                <c:pt idx="66">
                  <c:v>1.9154114526125927</c:v>
                </c:pt>
                <c:pt idx="67">
                  <c:v>1.8804259548612947</c:v>
                </c:pt>
                <c:pt idx="68">
                  <c:v>1.8456044020350304</c:v>
                </c:pt>
                <c:pt idx="69">
                  <c:v>1.812672271194725</c:v>
                </c:pt>
                <c:pt idx="70">
                  <c:v>1.7811053765420879</c:v>
                </c:pt>
                <c:pt idx="71">
                  <c:v>1.7504057350794369</c:v>
                </c:pt>
                <c:pt idx="72">
                  <c:v>1.7216168292328462</c:v>
                </c:pt>
                <c:pt idx="73">
                  <c:v>1.6929533755279957</c:v>
                </c:pt>
                <c:pt idx="74">
                  <c:v>1.6671997029546477</c:v>
                </c:pt>
                <c:pt idx="75">
                  <c:v>1.6421570206666465</c:v>
                </c:pt>
                <c:pt idx="76">
                  <c:v>1.6160823660648274</c:v>
                </c:pt>
                <c:pt idx="77">
                  <c:v>1.5921901439334027</c:v>
                </c:pt>
                <c:pt idx="78">
                  <c:v>1.568525253856951</c:v>
                </c:pt>
                <c:pt idx="79">
                  <c:v>1.545901612301982</c:v>
                </c:pt>
                <c:pt idx="80">
                  <c:v>1.5241416445346343</c:v>
                </c:pt>
                <c:pt idx="81">
                  <c:v>1.5019279200276658</c:v>
                </c:pt>
                <c:pt idx="82">
                  <c:v>1.4807610459797014</c:v>
                </c:pt>
                <c:pt idx="83">
                  <c:v>1.4606367841063992</c:v>
                </c:pt>
                <c:pt idx="84">
                  <c:v>1.4411190264533136</c:v>
                </c:pt>
                <c:pt idx="85">
                  <c:v>1.4222045937270715</c:v>
                </c:pt>
                <c:pt idx="86">
                  <c:v>1.4036731529739552</c:v>
                </c:pt>
                <c:pt idx="87">
                  <c:v>1.3848645144681631</c:v>
                </c:pt>
                <c:pt idx="88">
                  <c:v>1.3677479559610104</c:v>
                </c:pt>
                <c:pt idx="89">
                  <c:v>1.3642295704059848</c:v>
                </c:pt>
                <c:pt idx="90">
                  <c:v>1.2701118095253716</c:v>
                </c:pt>
                <c:pt idx="91">
                  <c:v>1.1987055161536744</c:v>
                </c:pt>
                <c:pt idx="92">
                  <c:v>1.1361938185998475</c:v>
                </c:pt>
                <c:pt idx="93">
                  <c:v>1.0796396702077975</c:v>
                </c:pt>
                <c:pt idx="94">
                  <c:v>1.0281205569353875</c:v>
                </c:pt>
                <c:pt idx="95">
                  <c:v>0.98221246082603131</c:v>
                </c:pt>
                <c:pt idx="96">
                  <c:v>0.93992629398770133</c:v>
                </c:pt>
                <c:pt idx="97">
                  <c:v>0.9006936059807038</c:v>
                </c:pt>
                <c:pt idx="98">
                  <c:v>0.86501946786389161</c:v>
                </c:pt>
                <c:pt idx="99">
                  <c:v>0.83143550030010216</c:v>
                </c:pt>
                <c:pt idx="100">
                  <c:v>0.80069596006048505</c:v>
                </c:pt>
                <c:pt idx="101">
                  <c:v>0.77241060225354174</c:v>
                </c:pt>
                <c:pt idx="102">
                  <c:v>0.74582069639563431</c:v>
                </c:pt>
                <c:pt idx="103">
                  <c:v>0.7213811799800689</c:v>
                </c:pt>
                <c:pt idx="104">
                  <c:v>0.69791953198274514</c:v>
                </c:pt>
                <c:pt idx="105">
                  <c:v>0.67619409906519312</c:v>
                </c:pt>
                <c:pt idx="106">
                  <c:v>0.6559845653921812</c:v>
                </c:pt>
                <c:pt idx="107">
                  <c:v>0.63631754706704602</c:v>
                </c:pt>
                <c:pt idx="108">
                  <c:v>0.61871570004708498</c:v>
                </c:pt>
                <c:pt idx="109">
                  <c:v>0.60142890447021957</c:v>
                </c:pt>
                <c:pt idx="110">
                  <c:v>0.58486615622634486</c:v>
                </c:pt>
                <c:pt idx="111">
                  <c:v>0.5698766995266582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99-4519-A1BD-5BC8F21DAE0E}"/>
            </c:ext>
          </c:extLst>
        </c:ser>
        <c:ser>
          <c:idx val="0"/>
          <c:order val="3"/>
          <c:tx>
            <c:strRef>
              <c:f>Sheet1!$M$1</c:f>
              <c:strCache>
                <c:ptCount val="1"/>
                <c:pt idx="0">
                  <c:v>3rd phase corr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Sheet1!$M$2:$M$113</c:f>
              <c:numCache>
                <c:formatCode>General</c:formatCode>
                <c:ptCount val="112"/>
                <c:pt idx="0">
                  <c:v>9.0885524858145068</c:v>
                </c:pt>
                <c:pt idx="1">
                  <c:v>9.0885524858145068</c:v>
                </c:pt>
                <c:pt idx="2">
                  <c:v>9.0885524858145068</c:v>
                </c:pt>
                <c:pt idx="3">
                  <c:v>9.0885524858145068</c:v>
                </c:pt>
                <c:pt idx="4">
                  <c:v>9.0885524858145068</c:v>
                </c:pt>
                <c:pt idx="5">
                  <c:v>9.0885524858145068</c:v>
                </c:pt>
                <c:pt idx="6">
                  <c:v>9.0885524858145068</c:v>
                </c:pt>
                <c:pt idx="7">
                  <c:v>9.0846941286339806</c:v>
                </c:pt>
                <c:pt idx="8">
                  <c:v>9.0827134071525872</c:v>
                </c:pt>
                <c:pt idx="9">
                  <c:v>9.0765408672272923</c:v>
                </c:pt>
                <c:pt idx="10">
                  <c:v>9.0699699494706003</c:v>
                </c:pt>
                <c:pt idx="11">
                  <c:v>9.057873939067786</c:v>
                </c:pt>
                <c:pt idx="12">
                  <c:v>9.0371177869392127</c:v>
                </c:pt>
                <c:pt idx="13">
                  <c:v>9.0042158101060128</c:v>
                </c:pt>
                <c:pt idx="14">
                  <c:v>8.9748806035603543</c:v>
                </c:pt>
                <c:pt idx="15">
                  <c:v>8.9143245128563819</c:v>
                </c:pt>
                <c:pt idx="16">
                  <c:v>8.7679500399678183</c:v>
                </c:pt>
                <c:pt idx="17">
                  <c:v>8.5839328038598612</c:v>
                </c:pt>
                <c:pt idx="18">
                  <c:v>8.3718760637749412</c:v>
                </c:pt>
                <c:pt idx="19">
                  <c:v>8.1398685154066914</c:v>
                </c:pt>
                <c:pt idx="20">
                  <c:v>7.8959937914720522</c:v>
                </c:pt>
                <c:pt idx="21">
                  <c:v>7.6423788394382033</c:v>
                </c:pt>
                <c:pt idx="22">
                  <c:v>7.3844775082211997</c:v>
                </c:pt>
                <c:pt idx="23">
                  <c:v>7.1254265686221938</c:v>
                </c:pt>
                <c:pt idx="24">
                  <c:v>6.868020909752663</c:v>
                </c:pt>
                <c:pt idx="25">
                  <c:v>6.6143266448355877</c:v>
                </c:pt>
                <c:pt idx="26">
                  <c:v>6.3742326080532488</c:v>
                </c:pt>
                <c:pt idx="27">
                  <c:v>6.1375861906784532</c:v>
                </c:pt>
                <c:pt idx="28">
                  <c:v>5.9868862824304108</c:v>
                </c:pt>
                <c:pt idx="29">
                  <c:v>6.0048933419584944</c:v>
                </c:pt>
                <c:pt idx="30">
                  <c:v>5.7794087237419562</c:v>
                </c:pt>
                <c:pt idx="31">
                  <c:v>5.5585440034877616</c:v>
                </c:pt>
                <c:pt idx="32">
                  <c:v>5.3494574158357135</c:v>
                </c:pt>
                <c:pt idx="33">
                  <c:v>5.1521078726275</c:v>
                </c:pt>
                <c:pt idx="34">
                  <c:v>4.9664846631938335</c:v>
                </c:pt>
                <c:pt idx="35">
                  <c:v>4.7910299271741206</c:v>
                </c:pt>
                <c:pt idx="36">
                  <c:v>4.6244735156317933</c:v>
                </c:pt>
                <c:pt idx="37">
                  <c:v>4.4653930071359662</c:v>
                </c:pt>
                <c:pt idx="38">
                  <c:v>4.3124517153212683</c:v>
                </c:pt>
                <c:pt idx="39">
                  <c:v>4.1644808218928056</c:v>
                </c:pt>
                <c:pt idx="40">
                  <c:v>4.0235002306018748</c:v>
                </c:pt>
                <c:pt idx="41">
                  <c:v>3.8867500353118629</c:v>
                </c:pt>
                <c:pt idx="42">
                  <c:v>3.753059038062041</c:v>
                </c:pt>
                <c:pt idx="43">
                  <c:v>3.6249535232297019</c:v>
                </c:pt>
                <c:pt idx="44">
                  <c:v>3.4996105481508701</c:v>
                </c:pt>
                <c:pt idx="45">
                  <c:v>3.3812759024550818</c:v>
                </c:pt>
                <c:pt idx="46">
                  <c:v>3.2677931048475095</c:v>
                </c:pt>
                <c:pt idx="47">
                  <c:v>3.1415926535897931</c:v>
                </c:pt>
                <c:pt idx="48">
                  <c:v>3.0511868071334503</c:v>
                </c:pt>
                <c:pt idx="49">
                  <c:v>2.9558801770908443</c:v>
                </c:pt>
                <c:pt idx="50">
                  <c:v>2.8694225083566205</c:v>
                </c:pt>
                <c:pt idx="51">
                  <c:v>2.7768873413427753</c:v>
                </c:pt>
                <c:pt idx="52">
                  <c:v>2.6931615865263856</c:v>
                </c:pt>
                <c:pt idx="53">
                  <c:v>2.6151280405473907</c:v>
                </c:pt>
                <c:pt idx="54">
                  <c:v>2.539550040938138</c:v>
                </c:pt>
                <c:pt idx="55">
                  <c:v>2.4701297947320251</c:v>
                </c:pt>
                <c:pt idx="56">
                  <c:v>2.4040744228333089</c:v>
                </c:pt>
                <c:pt idx="57">
                  <c:v>2.3413146490327632</c:v>
                </c:pt>
                <c:pt idx="58">
                  <c:v>2.2821698698431261</c:v>
                </c:pt>
                <c:pt idx="59">
                  <c:v>2.2276235033421106</c:v>
                </c:pt>
                <c:pt idx="60">
                  <c:v>2.1735800645127545</c:v>
                </c:pt>
                <c:pt idx="61">
                  <c:v>2.1237516420634015</c:v>
                </c:pt>
                <c:pt idx="62">
                  <c:v>2.0783634089315011</c:v>
                </c:pt>
                <c:pt idx="63">
                  <c:v>2.034574974848649</c:v>
                </c:pt>
                <c:pt idx="64">
                  <c:v>1.9919616559581024</c:v>
                </c:pt>
                <c:pt idx="65">
                  <c:v>1.9536234806269206</c:v>
                </c:pt>
                <c:pt idx="66">
                  <c:v>1.9154114526125927</c:v>
                </c:pt>
                <c:pt idx="67">
                  <c:v>1.8804259548612947</c:v>
                </c:pt>
                <c:pt idx="68">
                  <c:v>1.8456044020350304</c:v>
                </c:pt>
                <c:pt idx="69">
                  <c:v>1.812672271194725</c:v>
                </c:pt>
                <c:pt idx="70">
                  <c:v>1.7811053765420879</c:v>
                </c:pt>
                <c:pt idx="71">
                  <c:v>1.7504057350794369</c:v>
                </c:pt>
                <c:pt idx="72">
                  <c:v>1.7216168292328462</c:v>
                </c:pt>
                <c:pt idx="73">
                  <c:v>1.6929533755279957</c:v>
                </c:pt>
                <c:pt idx="74">
                  <c:v>1.6671997029546477</c:v>
                </c:pt>
                <c:pt idx="75">
                  <c:v>1.6421570206666465</c:v>
                </c:pt>
                <c:pt idx="76">
                  <c:v>1.6160823660648274</c:v>
                </c:pt>
                <c:pt idx="77">
                  <c:v>1.5921901439334027</c:v>
                </c:pt>
                <c:pt idx="78">
                  <c:v>1.568525253856951</c:v>
                </c:pt>
                <c:pt idx="79">
                  <c:v>1.545901612301982</c:v>
                </c:pt>
                <c:pt idx="80">
                  <c:v>1.5241416445346343</c:v>
                </c:pt>
                <c:pt idx="81">
                  <c:v>1.5019279200276658</c:v>
                </c:pt>
                <c:pt idx="82">
                  <c:v>1.4807610459797014</c:v>
                </c:pt>
                <c:pt idx="83">
                  <c:v>1.4606367841063992</c:v>
                </c:pt>
                <c:pt idx="84">
                  <c:v>1.4411190264533136</c:v>
                </c:pt>
                <c:pt idx="85">
                  <c:v>1.4222045937270715</c:v>
                </c:pt>
                <c:pt idx="86">
                  <c:v>1.4036731529739552</c:v>
                </c:pt>
                <c:pt idx="87">
                  <c:v>1.3848645144681631</c:v>
                </c:pt>
                <c:pt idx="88">
                  <c:v>1.3677479559610104</c:v>
                </c:pt>
                <c:pt idx="89">
                  <c:v>1.3642295704059848</c:v>
                </c:pt>
                <c:pt idx="90">
                  <c:v>1.2701118095253716</c:v>
                </c:pt>
                <c:pt idx="91">
                  <c:v>1.1987055161536744</c:v>
                </c:pt>
                <c:pt idx="92">
                  <c:v>1.1361938185998475</c:v>
                </c:pt>
                <c:pt idx="93">
                  <c:v>1.0796396702077975</c:v>
                </c:pt>
                <c:pt idx="94">
                  <c:v>1.0281205569353875</c:v>
                </c:pt>
                <c:pt idx="95">
                  <c:v>0.98221246082603131</c:v>
                </c:pt>
                <c:pt idx="96">
                  <c:v>0.93992629398770133</c:v>
                </c:pt>
                <c:pt idx="97">
                  <c:v>0.9006936059807038</c:v>
                </c:pt>
                <c:pt idx="98">
                  <c:v>0.86501946786389161</c:v>
                </c:pt>
                <c:pt idx="99">
                  <c:v>0.83143550030010216</c:v>
                </c:pt>
                <c:pt idx="100">
                  <c:v>0.80069596006048505</c:v>
                </c:pt>
                <c:pt idx="101">
                  <c:v>0.77241060225354174</c:v>
                </c:pt>
                <c:pt idx="102">
                  <c:v>0.74582069639563431</c:v>
                </c:pt>
                <c:pt idx="103">
                  <c:v>0.7213811799800689</c:v>
                </c:pt>
                <c:pt idx="104">
                  <c:v>0.69791953198274514</c:v>
                </c:pt>
                <c:pt idx="105">
                  <c:v>0.67619409906519312</c:v>
                </c:pt>
                <c:pt idx="106">
                  <c:v>0.6559845653921812</c:v>
                </c:pt>
                <c:pt idx="107">
                  <c:v>0.63631754706704602</c:v>
                </c:pt>
                <c:pt idx="108">
                  <c:v>0.61871570004708498</c:v>
                </c:pt>
                <c:pt idx="109">
                  <c:v>0.60142890447021957</c:v>
                </c:pt>
                <c:pt idx="110">
                  <c:v>0.58486615622634486</c:v>
                </c:pt>
                <c:pt idx="111">
                  <c:v>0.5698766995266582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99-4519-A1BD-5BC8F21D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949808"/>
        <c:axId val="569950200"/>
      </c:scatterChart>
      <c:valAx>
        <c:axId val="56994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 Voltage (ac square</a:t>
                </a:r>
                <a:r>
                  <a:rPr lang="en-US" baseline="0"/>
                  <a:t> wave 1kHz)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50200"/>
        <c:crosses val="autoZero"/>
        <c:crossBetween val="midCat"/>
      </c:valAx>
      <c:valAx>
        <c:axId val="56995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retaradance</a:t>
                </a:r>
                <a:r>
                  <a:rPr lang="en-US" baseline="0"/>
                  <a:t> in radians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4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Retardance, </a:t>
            </a:r>
            <a:r>
              <a:rPr lang="en-US" i="1">
                <a:latin typeface="Symbol" panose="05050102010706020507" pitchFamily="18" charset="2"/>
              </a:rPr>
              <a:t>d</a:t>
            </a:r>
            <a:r>
              <a:rPr lang="en-US"/>
              <a:t> (waves) vs RMS </a:t>
            </a:r>
            <a:r>
              <a:rPr lang="en-US" sz="1400" b="0" i="0" u="none" strike="noStrike" baseline="0">
                <a:effectLst/>
              </a:rPr>
              <a:t>Voltage</a:t>
            </a:r>
            <a:endParaRPr lang="en-US"/>
          </a:p>
          <a:p>
            <a:pPr>
              <a:defRPr/>
            </a:pPr>
            <a:r>
              <a:rPr lang="en-US" baseline="0">
                <a:solidFill>
                  <a:srgbClr val="7030A0"/>
                </a:solidFill>
              </a:rPr>
              <a:t>405nm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Retardance, d (waves)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Sheet1!$R$2:$R$113</c:f>
              <c:numCache>
                <c:formatCode>General</c:formatCode>
                <c:ptCount val="112"/>
                <c:pt idx="0">
                  <c:v>9.0885524858145068</c:v>
                </c:pt>
                <c:pt idx="1">
                  <c:v>9.0885524858145068</c:v>
                </c:pt>
                <c:pt idx="2">
                  <c:v>9.0885524858145068</c:v>
                </c:pt>
                <c:pt idx="3">
                  <c:v>9.0885524858145068</c:v>
                </c:pt>
                <c:pt idx="4">
                  <c:v>9.0885524858145068</c:v>
                </c:pt>
                <c:pt idx="5">
                  <c:v>9.0885524858145068</c:v>
                </c:pt>
                <c:pt idx="6">
                  <c:v>9.0885524858145068</c:v>
                </c:pt>
                <c:pt idx="7">
                  <c:v>9.0846941286339806</c:v>
                </c:pt>
                <c:pt idx="8">
                  <c:v>9.0827134071525872</c:v>
                </c:pt>
                <c:pt idx="9">
                  <c:v>9.0765408672272923</c:v>
                </c:pt>
                <c:pt idx="10">
                  <c:v>9.0699699494706003</c:v>
                </c:pt>
                <c:pt idx="11">
                  <c:v>9.057873939067786</c:v>
                </c:pt>
                <c:pt idx="12">
                  <c:v>9.0371177869392127</c:v>
                </c:pt>
                <c:pt idx="13">
                  <c:v>9.0042158101060128</c:v>
                </c:pt>
                <c:pt idx="14">
                  <c:v>8.9748806035603543</c:v>
                </c:pt>
                <c:pt idx="15">
                  <c:v>8.9143245128563819</c:v>
                </c:pt>
                <c:pt idx="16">
                  <c:v>8.7679500399678183</c:v>
                </c:pt>
                <c:pt idx="17">
                  <c:v>8.5839328038598612</c:v>
                </c:pt>
                <c:pt idx="18">
                  <c:v>8.3718760637749412</c:v>
                </c:pt>
                <c:pt idx="19">
                  <c:v>8.1398685154066914</c:v>
                </c:pt>
                <c:pt idx="20">
                  <c:v>7.8959937914720522</c:v>
                </c:pt>
                <c:pt idx="21">
                  <c:v>7.6423788394382033</c:v>
                </c:pt>
                <c:pt idx="22">
                  <c:v>7.3844775082211997</c:v>
                </c:pt>
                <c:pt idx="23">
                  <c:v>7.1254265686221938</c:v>
                </c:pt>
                <c:pt idx="24">
                  <c:v>6.868020909752663</c:v>
                </c:pt>
                <c:pt idx="25">
                  <c:v>6.6143266448355877</c:v>
                </c:pt>
                <c:pt idx="26">
                  <c:v>6.3742326080532488</c:v>
                </c:pt>
                <c:pt idx="27">
                  <c:v>6.1375861906784532</c:v>
                </c:pt>
                <c:pt idx="28">
                  <c:v>6.0048933419584944</c:v>
                </c:pt>
                <c:pt idx="29">
                  <c:v>5.9868862824304108</c:v>
                </c:pt>
                <c:pt idx="30">
                  <c:v>5.7794087237419562</c:v>
                </c:pt>
                <c:pt idx="31">
                  <c:v>5.5585440034877616</c:v>
                </c:pt>
                <c:pt idx="32">
                  <c:v>5.3494574158357135</c:v>
                </c:pt>
                <c:pt idx="33">
                  <c:v>5.1521078726275</c:v>
                </c:pt>
                <c:pt idx="34">
                  <c:v>4.9664846631938335</c:v>
                </c:pt>
                <c:pt idx="35">
                  <c:v>4.7910299271741206</c:v>
                </c:pt>
                <c:pt idx="36">
                  <c:v>4.6244735156317933</c:v>
                </c:pt>
                <c:pt idx="37">
                  <c:v>4.4653930071359662</c:v>
                </c:pt>
                <c:pt idx="38">
                  <c:v>4.3124517153212683</c:v>
                </c:pt>
                <c:pt idx="39">
                  <c:v>4.1644808218928056</c:v>
                </c:pt>
                <c:pt idx="40">
                  <c:v>4.0235002306018748</c:v>
                </c:pt>
                <c:pt idx="41">
                  <c:v>3.8867500353118629</c:v>
                </c:pt>
                <c:pt idx="42">
                  <c:v>3.753059038062041</c:v>
                </c:pt>
                <c:pt idx="43">
                  <c:v>3.6249535232297019</c:v>
                </c:pt>
                <c:pt idx="44">
                  <c:v>3.4996105481508701</c:v>
                </c:pt>
                <c:pt idx="45">
                  <c:v>3.3812759024550818</c:v>
                </c:pt>
                <c:pt idx="46">
                  <c:v>3.2677931048475095</c:v>
                </c:pt>
                <c:pt idx="47">
                  <c:v>3.1415926535897931</c:v>
                </c:pt>
                <c:pt idx="48">
                  <c:v>3.0511868071334503</c:v>
                </c:pt>
                <c:pt idx="49">
                  <c:v>2.9558801770908443</c:v>
                </c:pt>
                <c:pt idx="50">
                  <c:v>2.8694225083566205</c:v>
                </c:pt>
                <c:pt idx="51">
                  <c:v>2.7768873413427753</c:v>
                </c:pt>
                <c:pt idx="52">
                  <c:v>2.6931615865263856</c:v>
                </c:pt>
                <c:pt idx="53">
                  <c:v>2.6151280405473907</c:v>
                </c:pt>
                <c:pt idx="54">
                  <c:v>2.539550040938138</c:v>
                </c:pt>
                <c:pt idx="55">
                  <c:v>2.4701297947320251</c:v>
                </c:pt>
                <c:pt idx="56">
                  <c:v>2.4040744228333089</c:v>
                </c:pt>
                <c:pt idx="57">
                  <c:v>2.3413146490327632</c:v>
                </c:pt>
                <c:pt idx="58">
                  <c:v>2.2821698698431261</c:v>
                </c:pt>
                <c:pt idx="59">
                  <c:v>2.2276235033421106</c:v>
                </c:pt>
                <c:pt idx="60">
                  <c:v>2.1735800645127545</c:v>
                </c:pt>
                <c:pt idx="61">
                  <c:v>2.1237516420634015</c:v>
                </c:pt>
                <c:pt idx="62">
                  <c:v>2.0783634089315011</c:v>
                </c:pt>
                <c:pt idx="63">
                  <c:v>2.034574974848649</c:v>
                </c:pt>
                <c:pt idx="64">
                  <c:v>1.9919616559581024</c:v>
                </c:pt>
                <c:pt idx="65">
                  <c:v>1.9536234806269206</c:v>
                </c:pt>
                <c:pt idx="66">
                  <c:v>1.9154114526125927</c:v>
                </c:pt>
                <c:pt idx="67">
                  <c:v>1.8804259548612947</c:v>
                </c:pt>
                <c:pt idx="68">
                  <c:v>1.8456044020350304</c:v>
                </c:pt>
                <c:pt idx="69">
                  <c:v>1.812672271194725</c:v>
                </c:pt>
                <c:pt idx="70">
                  <c:v>1.7811053765420879</c:v>
                </c:pt>
                <c:pt idx="71">
                  <c:v>1.7504057350794369</c:v>
                </c:pt>
                <c:pt idx="72">
                  <c:v>1.7216168292328462</c:v>
                </c:pt>
                <c:pt idx="73">
                  <c:v>1.6929533755279957</c:v>
                </c:pt>
                <c:pt idx="74">
                  <c:v>1.6671997029546477</c:v>
                </c:pt>
                <c:pt idx="75">
                  <c:v>1.6421570206666465</c:v>
                </c:pt>
                <c:pt idx="76">
                  <c:v>1.6160823660648274</c:v>
                </c:pt>
                <c:pt idx="77">
                  <c:v>1.5921901439334027</c:v>
                </c:pt>
                <c:pt idx="78">
                  <c:v>1.568525253856951</c:v>
                </c:pt>
                <c:pt idx="79">
                  <c:v>1.545901612301982</c:v>
                </c:pt>
                <c:pt idx="80">
                  <c:v>1.5241416445346343</c:v>
                </c:pt>
                <c:pt idx="81">
                  <c:v>1.5019279200276658</c:v>
                </c:pt>
                <c:pt idx="82">
                  <c:v>1.4807610459797014</c:v>
                </c:pt>
                <c:pt idx="83">
                  <c:v>1.4606367841063992</c:v>
                </c:pt>
                <c:pt idx="84">
                  <c:v>1.4411190264533136</c:v>
                </c:pt>
                <c:pt idx="85">
                  <c:v>1.4222045937270715</c:v>
                </c:pt>
                <c:pt idx="86">
                  <c:v>1.4036731529739552</c:v>
                </c:pt>
                <c:pt idx="87">
                  <c:v>1.3848645144681631</c:v>
                </c:pt>
                <c:pt idx="88">
                  <c:v>1.3677479559610104</c:v>
                </c:pt>
                <c:pt idx="89">
                  <c:v>1.3642295704059848</c:v>
                </c:pt>
                <c:pt idx="90">
                  <c:v>1.2701118095253716</c:v>
                </c:pt>
                <c:pt idx="91">
                  <c:v>1.1987055161536744</c:v>
                </c:pt>
                <c:pt idx="92">
                  <c:v>1.1361938185998475</c:v>
                </c:pt>
                <c:pt idx="93">
                  <c:v>1.0796396702077975</c:v>
                </c:pt>
                <c:pt idx="94">
                  <c:v>1.0281205569353875</c:v>
                </c:pt>
                <c:pt idx="95">
                  <c:v>0.98221246082603131</c:v>
                </c:pt>
                <c:pt idx="96">
                  <c:v>0.93992629398770133</c:v>
                </c:pt>
                <c:pt idx="97">
                  <c:v>0.9006936059807038</c:v>
                </c:pt>
                <c:pt idx="98">
                  <c:v>0.86501946786389161</c:v>
                </c:pt>
                <c:pt idx="99">
                  <c:v>0.83143550030010216</c:v>
                </c:pt>
                <c:pt idx="100">
                  <c:v>0.80069596006048505</c:v>
                </c:pt>
                <c:pt idx="101">
                  <c:v>0.77241060225354174</c:v>
                </c:pt>
                <c:pt idx="102">
                  <c:v>0.74582069639563431</c:v>
                </c:pt>
                <c:pt idx="103">
                  <c:v>0.7213811799800689</c:v>
                </c:pt>
                <c:pt idx="104">
                  <c:v>0.69791953198274514</c:v>
                </c:pt>
                <c:pt idx="105">
                  <c:v>0.67619409906519312</c:v>
                </c:pt>
                <c:pt idx="106">
                  <c:v>0.6559845653921812</c:v>
                </c:pt>
                <c:pt idx="107">
                  <c:v>0.63631754706704602</c:v>
                </c:pt>
                <c:pt idx="108">
                  <c:v>0.61871570004708498</c:v>
                </c:pt>
                <c:pt idx="109">
                  <c:v>0.60142890447021957</c:v>
                </c:pt>
                <c:pt idx="110">
                  <c:v>0.58486615622634486</c:v>
                </c:pt>
                <c:pt idx="111">
                  <c:v>0.5698766995266582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C6-4A3B-8439-5A5EC7DC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950984"/>
        <c:axId val="569952944"/>
      </c:scatterChart>
      <c:valAx>
        <c:axId val="56995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52944"/>
        <c:crosses val="autoZero"/>
        <c:crossBetween val="midCat"/>
      </c:valAx>
      <c:valAx>
        <c:axId val="5699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5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Retardance, </a:t>
            </a:r>
            <a:r>
              <a:rPr lang="en-US" sz="1400" b="0" i="1" baseline="0">
                <a:effectLst/>
                <a:latin typeface="Symbol" panose="05050102010706020507" pitchFamily="18" charset="2"/>
              </a:rPr>
              <a:t>d</a:t>
            </a:r>
            <a:r>
              <a:rPr lang="en-US" sz="1400" b="0" i="0" baseline="0">
                <a:effectLst/>
              </a:rPr>
              <a:t> (waves) vs RMS Voltage</a:t>
            </a:r>
            <a:endParaRPr lang="en-US" sz="1400">
              <a:effectLst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rgbClr val="7030A0"/>
                </a:solidFill>
                <a:effectLst/>
              </a:rPr>
              <a:t>405nm</a:t>
            </a:r>
            <a:endParaRPr lang="en-US" sz="1400">
              <a:solidFill>
                <a:srgbClr val="7030A0"/>
              </a:solidFill>
            </a:endParaRPr>
          </a:p>
        </c:rich>
      </c:tx>
      <c:layout>
        <c:manualLayout>
          <c:xMode val="edge"/>
          <c:yMode val="edge"/>
          <c:x val="0.36391053331875184"/>
          <c:y val="3.084040092521202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3749043088364"/>
          <c:y val="0.16143290492697665"/>
          <c:w val="0.88015991816127159"/>
          <c:h val="0.67721493371539809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Sheet1!$P$1</c:f>
              <c:strCache>
                <c:ptCount val="1"/>
                <c:pt idx="0">
                  <c:v>Retardance, d (waves)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Sheet1!$O$2:$O$113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Sheet1!$P$2:$P$113</c:f>
              <c:numCache>
                <c:formatCode>General</c:formatCode>
                <c:ptCount val="112"/>
                <c:pt idx="0">
                  <c:v>1.4464880536675118</c:v>
                </c:pt>
                <c:pt idx="1">
                  <c:v>1.4464880536675118</c:v>
                </c:pt>
                <c:pt idx="2">
                  <c:v>1.4464880536675118</c:v>
                </c:pt>
                <c:pt idx="3">
                  <c:v>1.4464880536675118</c:v>
                </c:pt>
                <c:pt idx="4">
                  <c:v>1.4464880536675118</c:v>
                </c:pt>
                <c:pt idx="5">
                  <c:v>1.4464880536675118</c:v>
                </c:pt>
                <c:pt idx="6">
                  <c:v>1.4464880536675118</c:v>
                </c:pt>
                <c:pt idx="7">
                  <c:v>1.4458739770500169</c:v>
                </c:pt>
                <c:pt idx="8">
                  <c:v>1.4455587354353649</c:v>
                </c:pt>
                <c:pt idx="9">
                  <c:v>1.4445763451948221</c:v>
                </c:pt>
                <c:pt idx="10">
                  <c:v>1.4435305511531942</c:v>
                </c:pt>
                <c:pt idx="11">
                  <c:v>1.4416054113058954</c:v>
                </c:pt>
                <c:pt idx="12">
                  <c:v>1.4383019670950656</c:v>
                </c:pt>
                <c:pt idx="13">
                  <c:v>1.4330654548445667</c:v>
                </c:pt>
                <c:pt idx="14">
                  <c:v>1.4283966117162035</c:v>
                </c:pt>
                <c:pt idx="15">
                  <c:v>1.4187588105463451</c:v>
                </c:pt>
                <c:pt idx="16">
                  <c:v>1.3954625896436597</c:v>
                </c:pt>
                <c:pt idx="17">
                  <c:v>1.3661753369029699</c:v>
                </c:pt>
                <c:pt idx="18">
                  <c:v>1.3324254585025015</c:v>
                </c:pt>
                <c:pt idx="19">
                  <c:v>1.2955003103450626</c:v>
                </c:pt>
                <c:pt idx="20">
                  <c:v>1.2566864425356934</c:v>
                </c:pt>
                <c:pt idx="21">
                  <c:v>1.2163223692774925</c:v>
                </c:pt>
                <c:pt idx="22">
                  <c:v>1.1752760975843262</c:v>
                </c:pt>
                <c:pt idx="23">
                  <c:v>1.1340468600345444</c:v>
                </c:pt>
                <c:pt idx="24">
                  <c:v>1.0930794770456325</c:v>
                </c:pt>
                <c:pt idx="25">
                  <c:v>1.0527027807500151</c:v>
                </c:pt>
                <c:pt idx="26">
                  <c:v>1.0144906279892185</c:v>
                </c:pt>
                <c:pt idx="27">
                  <c:v>0.97682718089903198</c:v>
                </c:pt>
                <c:pt idx="28">
                  <c:v>0.95570845811230543</c:v>
                </c:pt>
                <c:pt idx="29">
                  <c:v>0.95284254557786086</c:v>
                </c:pt>
                <c:pt idx="30">
                  <c:v>0.91982146653195451</c:v>
                </c:pt>
                <c:pt idx="31">
                  <c:v>0.88466975454889074</c:v>
                </c:pt>
                <c:pt idx="32">
                  <c:v>0.85139259058985051</c:v>
                </c:pt>
                <c:pt idx="33">
                  <c:v>0.81998343527133577</c:v>
                </c:pt>
                <c:pt idx="34">
                  <c:v>0.79044058393738559</c:v>
                </c:pt>
                <c:pt idx="35">
                  <c:v>0.76251609541096466</c:v>
                </c:pt>
                <c:pt idx="36">
                  <c:v>0.7360078192103553</c:v>
                </c:pt>
                <c:pt idx="37">
                  <c:v>0.71068936993367215</c:v>
                </c:pt>
                <c:pt idx="38">
                  <c:v>0.68634800733850287</c:v>
                </c:pt>
                <c:pt idx="39">
                  <c:v>0.66279770821563899</c:v>
                </c:pt>
                <c:pt idx="40">
                  <c:v>0.64035995023166914</c:v>
                </c:pt>
                <c:pt idx="41">
                  <c:v>0.61859548068248171</c:v>
                </c:pt>
                <c:pt idx="42">
                  <c:v>0.59731789762328757</c:v>
                </c:pt>
                <c:pt idx="43">
                  <c:v>0.57692927170038877</c:v>
                </c:pt>
                <c:pt idx="44">
                  <c:v>0.55698031763474842</c:v>
                </c:pt>
                <c:pt idx="45">
                  <c:v>0.53814677383323561</c:v>
                </c:pt>
                <c:pt idx="46">
                  <c:v>0.52008542563809335</c:v>
                </c:pt>
                <c:pt idx="47">
                  <c:v>0.5</c:v>
                </c:pt>
                <c:pt idx="48">
                  <c:v>0.48561146265206612</c:v>
                </c:pt>
                <c:pt idx="49">
                  <c:v>0.47044294137135484</c:v>
                </c:pt>
                <c:pt idx="50">
                  <c:v>0.45668277602410151</c:v>
                </c:pt>
                <c:pt idx="51">
                  <c:v>0.44195534678401394</c:v>
                </c:pt>
                <c:pt idx="52">
                  <c:v>0.42862997904088546</c:v>
                </c:pt>
                <c:pt idx="53">
                  <c:v>0.41621055447133976</c:v>
                </c:pt>
                <c:pt idx="54">
                  <c:v>0.40418194224452986</c:v>
                </c:pt>
                <c:pt idx="55">
                  <c:v>0.39313336691017059</c:v>
                </c:pt>
                <c:pt idx="56">
                  <c:v>0.3826203279547164</c:v>
                </c:pt>
                <c:pt idx="57">
                  <c:v>0.37263179972703037</c:v>
                </c:pt>
                <c:pt idx="58">
                  <c:v>0.3632186157609209</c:v>
                </c:pt>
                <c:pt idx="59">
                  <c:v>0.35453729190458216</c:v>
                </c:pt>
                <c:pt idx="60">
                  <c:v>0.34593601147320563</c:v>
                </c:pt>
                <c:pt idx="61">
                  <c:v>0.33800557173391993</c:v>
                </c:pt>
                <c:pt idx="62">
                  <c:v>0.33078181007277063</c:v>
                </c:pt>
                <c:pt idx="63">
                  <c:v>0.32381266433823114</c:v>
                </c:pt>
                <c:pt idx="64">
                  <c:v>0.31703054399524938</c:v>
                </c:pt>
                <c:pt idx="65">
                  <c:v>0.31092883388216808</c:v>
                </c:pt>
                <c:pt idx="66">
                  <c:v>0.30484720073812177</c:v>
                </c:pt>
                <c:pt idx="67">
                  <c:v>0.29927908583447232</c:v>
                </c:pt>
                <c:pt idx="68">
                  <c:v>0.29373706357603679</c:v>
                </c:pt>
                <c:pt idx="69">
                  <c:v>0.28849575216625312</c:v>
                </c:pt>
                <c:pt idx="70">
                  <c:v>0.28347172484422484</c:v>
                </c:pt>
                <c:pt idx="71">
                  <c:v>0.27858572515429503</c:v>
                </c:pt>
                <c:pt idx="72">
                  <c:v>0.27400382848260296</c:v>
                </c:pt>
                <c:pt idx="73">
                  <c:v>0.26944189813939029</c:v>
                </c:pt>
                <c:pt idx="74">
                  <c:v>0.2653430738465718</c:v>
                </c:pt>
                <c:pt idx="75">
                  <c:v>0.2613574071721565</c:v>
                </c:pt>
                <c:pt idx="76">
                  <c:v>0.25720749700286316</c:v>
                </c:pt>
                <c:pt idx="77">
                  <c:v>0.25340493174919737</c:v>
                </c:pt>
                <c:pt idx="78">
                  <c:v>0.24963854751580372</c:v>
                </c:pt>
                <c:pt idx="79">
                  <c:v>0.2460378831315912</c:v>
                </c:pt>
                <c:pt idx="80">
                  <c:v>0.24257467669989749</c:v>
                </c:pt>
                <c:pt idx="81">
                  <c:v>0.2390392526401319</c:v>
                </c:pt>
                <c:pt idx="82">
                  <c:v>0.23567044000559478</c:v>
                </c:pt>
                <c:pt idx="83">
                  <c:v>0.23246756425238299</c:v>
                </c:pt>
                <c:pt idx="84">
                  <c:v>0.22936121664382475</c:v>
                </c:pt>
                <c:pt idx="85">
                  <c:v>0.2263508911796642</c:v>
                </c:pt>
                <c:pt idx="86">
                  <c:v>0.22340152078119116</c:v>
                </c:pt>
                <c:pt idx="87">
                  <c:v>0.22040803299016576</c:v>
                </c:pt>
                <c:pt idx="88">
                  <c:v>0.21768384809503077</c:v>
                </c:pt>
                <c:pt idx="89">
                  <c:v>0.21712387964224533</c:v>
                </c:pt>
                <c:pt idx="90">
                  <c:v>0.20214457276535475</c:v>
                </c:pt>
                <c:pt idx="91">
                  <c:v>0.19077990820737908</c:v>
                </c:pt>
                <c:pt idx="92">
                  <c:v>0.18083086254062197</c:v>
                </c:pt>
                <c:pt idx="93">
                  <c:v>0.17182999027167467</c:v>
                </c:pt>
                <c:pt idx="94">
                  <c:v>0.16363046873065934</c:v>
                </c:pt>
                <c:pt idx="95">
                  <c:v>0.1563239683069175</c:v>
                </c:pt>
                <c:pt idx="96">
                  <c:v>0.14959391583018869</c:v>
                </c:pt>
                <c:pt idx="97">
                  <c:v>0.14334983960309292</c:v>
                </c:pt>
                <c:pt idx="98">
                  <c:v>0.13767212418125926</c:v>
                </c:pt>
                <c:pt idx="99">
                  <c:v>0.13232706973484429</c:v>
                </c:pt>
                <c:pt idx="100">
                  <c:v>0.12743471995733699</c:v>
                </c:pt>
                <c:pt idx="101">
                  <c:v>0.12293296544523905</c:v>
                </c:pt>
                <c:pt idx="102">
                  <c:v>0.11870105049160493</c:v>
                </c:pt>
                <c:pt idx="103">
                  <c:v>0.11481138064729218</c:v>
                </c:pt>
                <c:pt idx="104">
                  <c:v>0.11107734339543604</c:v>
                </c:pt>
                <c:pt idx="105">
                  <c:v>0.10761963335579625</c:v>
                </c:pt>
                <c:pt idx="106">
                  <c:v>0.1044031861741543</c:v>
                </c:pt>
                <c:pt idx="107">
                  <c:v>0.10127308299183015</c:v>
                </c:pt>
                <c:pt idx="108">
                  <c:v>9.8471662031055993E-2</c:v>
                </c:pt>
                <c:pt idx="109">
                  <c:v>9.5720383064778758E-2</c:v>
                </c:pt>
                <c:pt idx="110">
                  <c:v>9.3084339810579481E-2</c:v>
                </c:pt>
                <c:pt idx="111">
                  <c:v>9.0698693682562434E-2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DF-46E3-8574-86B9F840BB6A}"/>
            </c:ext>
          </c:extLst>
        </c:ser>
        <c:ser>
          <c:idx val="0"/>
          <c:order val="1"/>
          <c:tx>
            <c:strRef>
              <c:f>'[1]Thorlabs LCVR data'!$D$2</c:f>
              <c:strCache>
                <c:ptCount val="1"/>
                <c:pt idx="0">
                  <c:v>Retardance 405 nm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'[1]Thorlabs LCVR data'!$C$3:$C$257</c:f>
              <c:numCache>
                <c:formatCode>General</c:formatCode>
                <c:ptCount val="25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1.02</c:v>
                </c:pt>
                <c:pt idx="11">
                  <c:v>1.04</c:v>
                </c:pt>
                <c:pt idx="12">
                  <c:v>1.06</c:v>
                </c:pt>
                <c:pt idx="13">
                  <c:v>1.08</c:v>
                </c:pt>
                <c:pt idx="14">
                  <c:v>1.1000000000000001</c:v>
                </c:pt>
                <c:pt idx="15">
                  <c:v>1.1200000000000001</c:v>
                </c:pt>
                <c:pt idx="16">
                  <c:v>1.1399999999999999</c:v>
                </c:pt>
                <c:pt idx="17">
                  <c:v>1.1599999999999999</c:v>
                </c:pt>
                <c:pt idx="18">
                  <c:v>1.18</c:v>
                </c:pt>
                <c:pt idx="19">
                  <c:v>1.2</c:v>
                </c:pt>
                <c:pt idx="20">
                  <c:v>1.22</c:v>
                </c:pt>
                <c:pt idx="21">
                  <c:v>1.24</c:v>
                </c:pt>
                <c:pt idx="22">
                  <c:v>1.26</c:v>
                </c:pt>
                <c:pt idx="23">
                  <c:v>1.28</c:v>
                </c:pt>
                <c:pt idx="24">
                  <c:v>1.3</c:v>
                </c:pt>
                <c:pt idx="25">
                  <c:v>1.32</c:v>
                </c:pt>
                <c:pt idx="26">
                  <c:v>1.34</c:v>
                </c:pt>
                <c:pt idx="27">
                  <c:v>1.36</c:v>
                </c:pt>
                <c:pt idx="28">
                  <c:v>1.38</c:v>
                </c:pt>
                <c:pt idx="29">
                  <c:v>1.4</c:v>
                </c:pt>
                <c:pt idx="30">
                  <c:v>1.42</c:v>
                </c:pt>
                <c:pt idx="31">
                  <c:v>1.44</c:v>
                </c:pt>
                <c:pt idx="32">
                  <c:v>1.46</c:v>
                </c:pt>
                <c:pt idx="33">
                  <c:v>1.48</c:v>
                </c:pt>
                <c:pt idx="34">
                  <c:v>1.5</c:v>
                </c:pt>
                <c:pt idx="35">
                  <c:v>1.52</c:v>
                </c:pt>
                <c:pt idx="36">
                  <c:v>1.54</c:v>
                </c:pt>
                <c:pt idx="37">
                  <c:v>1.56</c:v>
                </c:pt>
                <c:pt idx="38">
                  <c:v>1.58</c:v>
                </c:pt>
                <c:pt idx="39">
                  <c:v>1.6</c:v>
                </c:pt>
                <c:pt idx="40">
                  <c:v>1.62</c:v>
                </c:pt>
                <c:pt idx="41">
                  <c:v>1.64</c:v>
                </c:pt>
                <c:pt idx="42">
                  <c:v>1.66</c:v>
                </c:pt>
                <c:pt idx="43">
                  <c:v>1.68</c:v>
                </c:pt>
                <c:pt idx="44">
                  <c:v>1.7</c:v>
                </c:pt>
                <c:pt idx="45">
                  <c:v>1.72</c:v>
                </c:pt>
                <c:pt idx="46">
                  <c:v>1.74</c:v>
                </c:pt>
                <c:pt idx="47">
                  <c:v>1.76</c:v>
                </c:pt>
                <c:pt idx="48">
                  <c:v>1.78</c:v>
                </c:pt>
                <c:pt idx="49">
                  <c:v>1.8</c:v>
                </c:pt>
                <c:pt idx="50">
                  <c:v>1.82</c:v>
                </c:pt>
                <c:pt idx="51">
                  <c:v>1.84</c:v>
                </c:pt>
                <c:pt idx="52">
                  <c:v>1.86</c:v>
                </c:pt>
                <c:pt idx="53">
                  <c:v>1.88</c:v>
                </c:pt>
                <c:pt idx="54">
                  <c:v>1.9</c:v>
                </c:pt>
                <c:pt idx="55">
                  <c:v>1.92</c:v>
                </c:pt>
                <c:pt idx="56">
                  <c:v>1.94</c:v>
                </c:pt>
                <c:pt idx="57">
                  <c:v>1.96</c:v>
                </c:pt>
                <c:pt idx="58">
                  <c:v>1.98</c:v>
                </c:pt>
                <c:pt idx="59">
                  <c:v>2</c:v>
                </c:pt>
                <c:pt idx="60">
                  <c:v>2.02</c:v>
                </c:pt>
                <c:pt idx="61">
                  <c:v>2.04</c:v>
                </c:pt>
                <c:pt idx="62">
                  <c:v>2.06</c:v>
                </c:pt>
                <c:pt idx="63">
                  <c:v>2.08</c:v>
                </c:pt>
                <c:pt idx="64">
                  <c:v>2.1</c:v>
                </c:pt>
                <c:pt idx="65">
                  <c:v>2.12</c:v>
                </c:pt>
                <c:pt idx="66">
                  <c:v>2.14</c:v>
                </c:pt>
                <c:pt idx="67">
                  <c:v>2.16</c:v>
                </c:pt>
                <c:pt idx="68">
                  <c:v>2.1800000000000002</c:v>
                </c:pt>
                <c:pt idx="69">
                  <c:v>2.2000000000000002</c:v>
                </c:pt>
                <c:pt idx="70">
                  <c:v>2.2200000000000002</c:v>
                </c:pt>
                <c:pt idx="71">
                  <c:v>2.2400000000000002</c:v>
                </c:pt>
                <c:pt idx="72">
                  <c:v>2.2599999999999998</c:v>
                </c:pt>
                <c:pt idx="73">
                  <c:v>2.2799999999999998</c:v>
                </c:pt>
                <c:pt idx="74">
                  <c:v>2.2999999999999998</c:v>
                </c:pt>
                <c:pt idx="75">
                  <c:v>2.3199999999999998</c:v>
                </c:pt>
                <c:pt idx="76">
                  <c:v>2.34</c:v>
                </c:pt>
                <c:pt idx="77">
                  <c:v>2.36</c:v>
                </c:pt>
                <c:pt idx="78">
                  <c:v>2.38</c:v>
                </c:pt>
                <c:pt idx="79">
                  <c:v>2.4</c:v>
                </c:pt>
                <c:pt idx="80">
                  <c:v>2.42</c:v>
                </c:pt>
                <c:pt idx="81">
                  <c:v>2.44</c:v>
                </c:pt>
                <c:pt idx="82">
                  <c:v>2.46</c:v>
                </c:pt>
                <c:pt idx="83">
                  <c:v>2.48</c:v>
                </c:pt>
                <c:pt idx="84">
                  <c:v>2.5</c:v>
                </c:pt>
                <c:pt idx="85">
                  <c:v>2.52</c:v>
                </c:pt>
                <c:pt idx="86">
                  <c:v>2.54</c:v>
                </c:pt>
                <c:pt idx="87">
                  <c:v>2.56</c:v>
                </c:pt>
                <c:pt idx="88">
                  <c:v>2.58</c:v>
                </c:pt>
                <c:pt idx="89">
                  <c:v>2.6</c:v>
                </c:pt>
                <c:pt idx="90">
                  <c:v>2.62</c:v>
                </c:pt>
                <c:pt idx="91">
                  <c:v>2.64</c:v>
                </c:pt>
                <c:pt idx="92">
                  <c:v>2.66</c:v>
                </c:pt>
                <c:pt idx="93">
                  <c:v>2.68</c:v>
                </c:pt>
                <c:pt idx="94">
                  <c:v>2.7</c:v>
                </c:pt>
                <c:pt idx="95">
                  <c:v>2.72</c:v>
                </c:pt>
                <c:pt idx="96">
                  <c:v>2.74</c:v>
                </c:pt>
                <c:pt idx="97">
                  <c:v>2.76</c:v>
                </c:pt>
                <c:pt idx="98">
                  <c:v>2.78</c:v>
                </c:pt>
                <c:pt idx="99">
                  <c:v>2.8</c:v>
                </c:pt>
                <c:pt idx="100">
                  <c:v>2.82</c:v>
                </c:pt>
                <c:pt idx="101">
                  <c:v>2.84</c:v>
                </c:pt>
                <c:pt idx="102">
                  <c:v>2.86</c:v>
                </c:pt>
                <c:pt idx="103">
                  <c:v>2.88</c:v>
                </c:pt>
                <c:pt idx="104">
                  <c:v>2.9</c:v>
                </c:pt>
                <c:pt idx="105">
                  <c:v>2.92</c:v>
                </c:pt>
                <c:pt idx="106">
                  <c:v>2.94</c:v>
                </c:pt>
                <c:pt idx="107">
                  <c:v>2.96</c:v>
                </c:pt>
                <c:pt idx="108">
                  <c:v>2.98</c:v>
                </c:pt>
                <c:pt idx="109">
                  <c:v>3</c:v>
                </c:pt>
                <c:pt idx="110">
                  <c:v>3.1</c:v>
                </c:pt>
                <c:pt idx="111">
                  <c:v>3.2</c:v>
                </c:pt>
                <c:pt idx="112">
                  <c:v>3.3</c:v>
                </c:pt>
                <c:pt idx="113">
                  <c:v>3.4</c:v>
                </c:pt>
                <c:pt idx="114">
                  <c:v>3.5</c:v>
                </c:pt>
                <c:pt idx="115">
                  <c:v>3.6</c:v>
                </c:pt>
                <c:pt idx="116">
                  <c:v>3.7</c:v>
                </c:pt>
                <c:pt idx="117">
                  <c:v>3.8</c:v>
                </c:pt>
                <c:pt idx="118">
                  <c:v>3.9</c:v>
                </c:pt>
                <c:pt idx="119">
                  <c:v>4</c:v>
                </c:pt>
                <c:pt idx="120">
                  <c:v>4.0999999999999996</c:v>
                </c:pt>
                <c:pt idx="121">
                  <c:v>4.2</c:v>
                </c:pt>
                <c:pt idx="122">
                  <c:v>4.3</c:v>
                </c:pt>
                <c:pt idx="123">
                  <c:v>4.4000000000000004</c:v>
                </c:pt>
                <c:pt idx="124">
                  <c:v>4.5</c:v>
                </c:pt>
                <c:pt idx="125">
                  <c:v>4.5999999999999996</c:v>
                </c:pt>
                <c:pt idx="126">
                  <c:v>4.7</c:v>
                </c:pt>
                <c:pt idx="127">
                  <c:v>4.8</c:v>
                </c:pt>
                <c:pt idx="128">
                  <c:v>4.9000000000000004</c:v>
                </c:pt>
                <c:pt idx="129">
                  <c:v>5</c:v>
                </c:pt>
                <c:pt idx="130">
                  <c:v>5.0999999999999996</c:v>
                </c:pt>
                <c:pt idx="131">
                  <c:v>5.2</c:v>
                </c:pt>
                <c:pt idx="132">
                  <c:v>5.3</c:v>
                </c:pt>
                <c:pt idx="133">
                  <c:v>5.4</c:v>
                </c:pt>
                <c:pt idx="134">
                  <c:v>5.5</c:v>
                </c:pt>
                <c:pt idx="135">
                  <c:v>5.6</c:v>
                </c:pt>
                <c:pt idx="136">
                  <c:v>5.7</c:v>
                </c:pt>
                <c:pt idx="137">
                  <c:v>5.8</c:v>
                </c:pt>
                <c:pt idx="138">
                  <c:v>5.9</c:v>
                </c:pt>
                <c:pt idx="139">
                  <c:v>6</c:v>
                </c:pt>
                <c:pt idx="140">
                  <c:v>6.1</c:v>
                </c:pt>
                <c:pt idx="141">
                  <c:v>6.2</c:v>
                </c:pt>
                <c:pt idx="142">
                  <c:v>6.3</c:v>
                </c:pt>
                <c:pt idx="143">
                  <c:v>6.4</c:v>
                </c:pt>
                <c:pt idx="144">
                  <c:v>6.5</c:v>
                </c:pt>
                <c:pt idx="145">
                  <c:v>6.6</c:v>
                </c:pt>
                <c:pt idx="146">
                  <c:v>6.7</c:v>
                </c:pt>
                <c:pt idx="147">
                  <c:v>6.8</c:v>
                </c:pt>
                <c:pt idx="148">
                  <c:v>6.9</c:v>
                </c:pt>
                <c:pt idx="149">
                  <c:v>7</c:v>
                </c:pt>
                <c:pt idx="150">
                  <c:v>7.1</c:v>
                </c:pt>
                <c:pt idx="151">
                  <c:v>7.2</c:v>
                </c:pt>
                <c:pt idx="152">
                  <c:v>7.3</c:v>
                </c:pt>
                <c:pt idx="153">
                  <c:v>7.4</c:v>
                </c:pt>
                <c:pt idx="154">
                  <c:v>7.5</c:v>
                </c:pt>
                <c:pt idx="155">
                  <c:v>7.6</c:v>
                </c:pt>
                <c:pt idx="156">
                  <c:v>7.7</c:v>
                </c:pt>
                <c:pt idx="157">
                  <c:v>7.8</c:v>
                </c:pt>
                <c:pt idx="158">
                  <c:v>7.9</c:v>
                </c:pt>
                <c:pt idx="159">
                  <c:v>8</c:v>
                </c:pt>
                <c:pt idx="160">
                  <c:v>8.1</c:v>
                </c:pt>
                <c:pt idx="161">
                  <c:v>8.1999999999999993</c:v>
                </c:pt>
                <c:pt idx="162">
                  <c:v>8.3000000000000007</c:v>
                </c:pt>
                <c:pt idx="163">
                  <c:v>8.4</c:v>
                </c:pt>
                <c:pt idx="164">
                  <c:v>8.5</c:v>
                </c:pt>
                <c:pt idx="165">
                  <c:v>8.6</c:v>
                </c:pt>
                <c:pt idx="166">
                  <c:v>8.6999999999999993</c:v>
                </c:pt>
                <c:pt idx="167">
                  <c:v>8.8000000000000007</c:v>
                </c:pt>
                <c:pt idx="168">
                  <c:v>8.9</c:v>
                </c:pt>
                <c:pt idx="169">
                  <c:v>9</c:v>
                </c:pt>
                <c:pt idx="170">
                  <c:v>9.1</c:v>
                </c:pt>
                <c:pt idx="171">
                  <c:v>9.1999999999999993</c:v>
                </c:pt>
                <c:pt idx="172">
                  <c:v>9.3000000000000007</c:v>
                </c:pt>
                <c:pt idx="173">
                  <c:v>9.4</c:v>
                </c:pt>
                <c:pt idx="174">
                  <c:v>9.5</c:v>
                </c:pt>
                <c:pt idx="175">
                  <c:v>9.6</c:v>
                </c:pt>
                <c:pt idx="176">
                  <c:v>9.6999999999999993</c:v>
                </c:pt>
                <c:pt idx="177">
                  <c:v>9.8000000000000007</c:v>
                </c:pt>
                <c:pt idx="178">
                  <c:v>9.9</c:v>
                </c:pt>
                <c:pt idx="179">
                  <c:v>10</c:v>
                </c:pt>
                <c:pt idx="180">
                  <c:v>10.199999999999999</c:v>
                </c:pt>
                <c:pt idx="181">
                  <c:v>10.4</c:v>
                </c:pt>
                <c:pt idx="182">
                  <c:v>10.6</c:v>
                </c:pt>
                <c:pt idx="183">
                  <c:v>10.8</c:v>
                </c:pt>
                <c:pt idx="184">
                  <c:v>11</c:v>
                </c:pt>
                <c:pt idx="185">
                  <c:v>11.2</c:v>
                </c:pt>
                <c:pt idx="186">
                  <c:v>11.4</c:v>
                </c:pt>
                <c:pt idx="187">
                  <c:v>11.6</c:v>
                </c:pt>
                <c:pt idx="188">
                  <c:v>11.8</c:v>
                </c:pt>
                <c:pt idx="189">
                  <c:v>12</c:v>
                </c:pt>
                <c:pt idx="190">
                  <c:v>12.2</c:v>
                </c:pt>
                <c:pt idx="191">
                  <c:v>12.4</c:v>
                </c:pt>
                <c:pt idx="192">
                  <c:v>12.6</c:v>
                </c:pt>
                <c:pt idx="193">
                  <c:v>12.8</c:v>
                </c:pt>
                <c:pt idx="194">
                  <c:v>13</c:v>
                </c:pt>
                <c:pt idx="195">
                  <c:v>13.2</c:v>
                </c:pt>
                <c:pt idx="196">
                  <c:v>13.4</c:v>
                </c:pt>
                <c:pt idx="197">
                  <c:v>13.6</c:v>
                </c:pt>
                <c:pt idx="198">
                  <c:v>13.8</c:v>
                </c:pt>
                <c:pt idx="199">
                  <c:v>14</c:v>
                </c:pt>
                <c:pt idx="200">
                  <c:v>14.2</c:v>
                </c:pt>
                <c:pt idx="201">
                  <c:v>14.4</c:v>
                </c:pt>
                <c:pt idx="202">
                  <c:v>14.6</c:v>
                </c:pt>
                <c:pt idx="203">
                  <c:v>14.8</c:v>
                </c:pt>
                <c:pt idx="204">
                  <c:v>15</c:v>
                </c:pt>
                <c:pt idx="205">
                  <c:v>15.2</c:v>
                </c:pt>
                <c:pt idx="206">
                  <c:v>15.4</c:v>
                </c:pt>
                <c:pt idx="207">
                  <c:v>15.6</c:v>
                </c:pt>
                <c:pt idx="208">
                  <c:v>15.8</c:v>
                </c:pt>
                <c:pt idx="209">
                  <c:v>16</c:v>
                </c:pt>
                <c:pt idx="210">
                  <c:v>16.2</c:v>
                </c:pt>
                <c:pt idx="211">
                  <c:v>16.399999999999999</c:v>
                </c:pt>
                <c:pt idx="212">
                  <c:v>16.600000000000001</c:v>
                </c:pt>
                <c:pt idx="213">
                  <c:v>16.8</c:v>
                </c:pt>
                <c:pt idx="214">
                  <c:v>17</c:v>
                </c:pt>
                <c:pt idx="215">
                  <c:v>17.2</c:v>
                </c:pt>
                <c:pt idx="216">
                  <c:v>17.399999999999999</c:v>
                </c:pt>
                <c:pt idx="217">
                  <c:v>17.600000000000001</c:v>
                </c:pt>
                <c:pt idx="218">
                  <c:v>17.8</c:v>
                </c:pt>
                <c:pt idx="219">
                  <c:v>18</c:v>
                </c:pt>
                <c:pt idx="220">
                  <c:v>18.2</c:v>
                </c:pt>
                <c:pt idx="221">
                  <c:v>18.399999999999999</c:v>
                </c:pt>
                <c:pt idx="222">
                  <c:v>18.600000000000001</c:v>
                </c:pt>
                <c:pt idx="223">
                  <c:v>18.8</c:v>
                </c:pt>
                <c:pt idx="224">
                  <c:v>19</c:v>
                </c:pt>
                <c:pt idx="225">
                  <c:v>19.2</c:v>
                </c:pt>
                <c:pt idx="226">
                  <c:v>19.399999999999999</c:v>
                </c:pt>
                <c:pt idx="227">
                  <c:v>19.600000000000001</c:v>
                </c:pt>
                <c:pt idx="228">
                  <c:v>19.8</c:v>
                </c:pt>
                <c:pt idx="229">
                  <c:v>20</c:v>
                </c:pt>
                <c:pt idx="230">
                  <c:v>20.2</c:v>
                </c:pt>
                <c:pt idx="231">
                  <c:v>20.399999999999999</c:v>
                </c:pt>
                <c:pt idx="232">
                  <c:v>20.6</c:v>
                </c:pt>
                <c:pt idx="233">
                  <c:v>20.8</c:v>
                </c:pt>
                <c:pt idx="234">
                  <c:v>21</c:v>
                </c:pt>
                <c:pt idx="235">
                  <c:v>21.2</c:v>
                </c:pt>
                <c:pt idx="236">
                  <c:v>21.4</c:v>
                </c:pt>
                <c:pt idx="237">
                  <c:v>21.6</c:v>
                </c:pt>
                <c:pt idx="238">
                  <c:v>21.8</c:v>
                </c:pt>
                <c:pt idx="239">
                  <c:v>22</c:v>
                </c:pt>
                <c:pt idx="240">
                  <c:v>22.2</c:v>
                </c:pt>
                <c:pt idx="241">
                  <c:v>22.4</c:v>
                </c:pt>
                <c:pt idx="242">
                  <c:v>22.6</c:v>
                </c:pt>
                <c:pt idx="243">
                  <c:v>22.8</c:v>
                </c:pt>
                <c:pt idx="244">
                  <c:v>23</c:v>
                </c:pt>
                <c:pt idx="245">
                  <c:v>23.2</c:v>
                </c:pt>
                <c:pt idx="246">
                  <c:v>23.4</c:v>
                </c:pt>
                <c:pt idx="247">
                  <c:v>23.6</c:v>
                </c:pt>
                <c:pt idx="248">
                  <c:v>23.8</c:v>
                </c:pt>
                <c:pt idx="249">
                  <c:v>24</c:v>
                </c:pt>
                <c:pt idx="250">
                  <c:v>24.2</c:v>
                </c:pt>
                <c:pt idx="251">
                  <c:v>24.4</c:v>
                </c:pt>
                <c:pt idx="252">
                  <c:v>24.6</c:v>
                </c:pt>
                <c:pt idx="253">
                  <c:v>24.8</c:v>
                </c:pt>
                <c:pt idx="254">
                  <c:v>25</c:v>
                </c:pt>
              </c:numCache>
            </c:numRef>
          </c:xVal>
          <c:yVal>
            <c:numRef>
              <c:f>'[1]Thorlabs LCVR data'!$D$3:$D$257</c:f>
              <c:numCache>
                <c:formatCode>General</c:formatCode>
                <c:ptCount val="255"/>
                <c:pt idx="0">
                  <c:v>1.3243400000000001</c:v>
                </c:pt>
                <c:pt idx="1">
                  <c:v>1.32544</c:v>
                </c:pt>
                <c:pt idx="2">
                  <c:v>1.32603</c:v>
                </c:pt>
                <c:pt idx="3">
                  <c:v>1.32507</c:v>
                </c:pt>
                <c:pt idx="4">
                  <c:v>1.32317</c:v>
                </c:pt>
                <c:pt idx="5">
                  <c:v>1.32023</c:v>
                </c:pt>
                <c:pt idx="6">
                  <c:v>1.31304</c:v>
                </c:pt>
                <c:pt idx="7">
                  <c:v>1.2852600000000001</c:v>
                </c:pt>
                <c:pt idx="8">
                  <c:v>1.2179</c:v>
                </c:pt>
                <c:pt idx="9">
                  <c:v>1.1523699999999999</c:v>
                </c:pt>
                <c:pt idx="10">
                  <c:v>1.14317</c:v>
                </c:pt>
                <c:pt idx="11">
                  <c:v>1.13727</c:v>
                </c:pt>
                <c:pt idx="12">
                  <c:v>1.13365</c:v>
                </c:pt>
                <c:pt idx="13">
                  <c:v>1.13147</c:v>
                </c:pt>
                <c:pt idx="14">
                  <c:v>0.86702000000000001</c:v>
                </c:pt>
                <c:pt idx="15">
                  <c:v>0.86270000000000002</c:v>
                </c:pt>
                <c:pt idx="16">
                  <c:v>0.85546999999999995</c:v>
                </c:pt>
                <c:pt idx="17">
                  <c:v>0.84665999999999997</c:v>
                </c:pt>
                <c:pt idx="18">
                  <c:v>0.83642000000000005</c:v>
                </c:pt>
                <c:pt idx="19">
                  <c:v>0.82591999999999999</c:v>
                </c:pt>
                <c:pt idx="20">
                  <c:v>0.81250999999999995</c:v>
                </c:pt>
                <c:pt idx="21">
                  <c:v>0.79952999999999996</c:v>
                </c:pt>
                <c:pt idx="22">
                  <c:v>0.78669999999999995</c:v>
                </c:pt>
                <c:pt idx="23">
                  <c:v>0.77327000000000001</c:v>
                </c:pt>
                <c:pt idx="24">
                  <c:v>0.7601</c:v>
                </c:pt>
                <c:pt idx="25">
                  <c:v>0.74685999999999997</c:v>
                </c:pt>
                <c:pt idx="26">
                  <c:v>0.73316000000000003</c:v>
                </c:pt>
                <c:pt idx="27">
                  <c:v>0.71950000000000003</c:v>
                </c:pt>
                <c:pt idx="28">
                  <c:v>0.70591000000000004</c:v>
                </c:pt>
                <c:pt idx="29">
                  <c:v>0.69188000000000005</c:v>
                </c:pt>
                <c:pt idx="30">
                  <c:v>0.67891000000000001</c:v>
                </c:pt>
                <c:pt idx="31">
                  <c:v>0.66547000000000001</c:v>
                </c:pt>
                <c:pt idx="32">
                  <c:v>0.65308999999999995</c:v>
                </c:pt>
                <c:pt idx="33">
                  <c:v>0.64075000000000004</c:v>
                </c:pt>
                <c:pt idx="34">
                  <c:v>0.62878999999999996</c:v>
                </c:pt>
                <c:pt idx="35">
                  <c:v>0.61853999999999998</c:v>
                </c:pt>
                <c:pt idx="36">
                  <c:v>0.60618000000000005</c:v>
                </c:pt>
                <c:pt idx="37">
                  <c:v>0.59499000000000002</c:v>
                </c:pt>
                <c:pt idx="38">
                  <c:v>0.58253999999999995</c:v>
                </c:pt>
                <c:pt idx="39">
                  <c:v>0.56993000000000005</c:v>
                </c:pt>
                <c:pt idx="40">
                  <c:v>0.55881999999999998</c:v>
                </c:pt>
                <c:pt idx="41">
                  <c:v>0.54657999999999995</c:v>
                </c:pt>
                <c:pt idx="42">
                  <c:v>0.53676999999999997</c:v>
                </c:pt>
                <c:pt idx="43">
                  <c:v>0.52695000000000003</c:v>
                </c:pt>
                <c:pt idx="44">
                  <c:v>0.51800999999999997</c:v>
                </c:pt>
                <c:pt idx="45">
                  <c:v>0.5</c:v>
                </c:pt>
                <c:pt idx="46">
                  <c:v>0.49608999999999998</c:v>
                </c:pt>
                <c:pt idx="47">
                  <c:v>0.49414000000000002</c:v>
                </c:pt>
                <c:pt idx="48">
                  <c:v>0.49804999999999999</c:v>
                </c:pt>
                <c:pt idx="49">
                  <c:v>0.48242000000000002</c:v>
                </c:pt>
                <c:pt idx="50">
                  <c:v>0.46833999999999998</c:v>
                </c:pt>
                <c:pt idx="51">
                  <c:v>0.46149000000000001</c:v>
                </c:pt>
                <c:pt idx="52">
                  <c:v>0.45341999999999999</c:v>
                </c:pt>
                <c:pt idx="53">
                  <c:v>0.44584000000000001</c:v>
                </c:pt>
                <c:pt idx="54">
                  <c:v>0.43717</c:v>
                </c:pt>
                <c:pt idx="55">
                  <c:v>0.42749999999999999</c:v>
                </c:pt>
                <c:pt idx="56">
                  <c:v>0.42083999999999999</c:v>
                </c:pt>
                <c:pt idx="57">
                  <c:v>0.41683999999999999</c:v>
                </c:pt>
                <c:pt idx="58">
                  <c:v>0.40854000000000001</c:v>
                </c:pt>
                <c:pt idx="59">
                  <c:v>0.40383999999999998</c:v>
                </c:pt>
                <c:pt idx="60">
                  <c:v>0.39727000000000001</c:v>
                </c:pt>
                <c:pt idx="61">
                  <c:v>0.39206999999999997</c:v>
                </c:pt>
                <c:pt idx="62">
                  <c:v>0.38538</c:v>
                </c:pt>
                <c:pt idx="63">
                  <c:v>0.37951000000000001</c:v>
                </c:pt>
                <c:pt idx="64">
                  <c:v>0.37325999999999998</c:v>
                </c:pt>
                <c:pt idx="65">
                  <c:v>0.36681000000000002</c:v>
                </c:pt>
                <c:pt idx="66">
                  <c:v>0.36186000000000001</c:v>
                </c:pt>
                <c:pt idx="67">
                  <c:v>0.35722999999999999</c:v>
                </c:pt>
                <c:pt idx="68">
                  <c:v>0.35274</c:v>
                </c:pt>
                <c:pt idx="69">
                  <c:v>0.34738000000000002</c:v>
                </c:pt>
                <c:pt idx="70">
                  <c:v>0.34326000000000001</c:v>
                </c:pt>
                <c:pt idx="71">
                  <c:v>0.33906999999999998</c:v>
                </c:pt>
                <c:pt idx="72">
                  <c:v>0.33509</c:v>
                </c:pt>
                <c:pt idx="73">
                  <c:v>0.32972000000000001</c:v>
                </c:pt>
                <c:pt idx="74">
                  <c:v>0.32540000000000002</c:v>
                </c:pt>
                <c:pt idx="75">
                  <c:v>0.32189000000000001</c:v>
                </c:pt>
                <c:pt idx="76">
                  <c:v>0.31808999999999998</c:v>
                </c:pt>
                <c:pt idx="77">
                  <c:v>0.31441000000000002</c:v>
                </c:pt>
                <c:pt idx="78">
                  <c:v>0.31083</c:v>
                </c:pt>
                <c:pt idx="79">
                  <c:v>0.3075</c:v>
                </c:pt>
                <c:pt idx="80">
                  <c:v>0.30418000000000001</c:v>
                </c:pt>
                <c:pt idx="81">
                  <c:v>0.30098000000000003</c:v>
                </c:pt>
                <c:pt idx="82">
                  <c:v>0.29792000000000002</c:v>
                </c:pt>
                <c:pt idx="83">
                  <c:v>0.29465999999999998</c:v>
                </c:pt>
                <c:pt idx="84">
                  <c:v>0.29092000000000001</c:v>
                </c:pt>
                <c:pt idx="85">
                  <c:v>0.28853000000000001</c:v>
                </c:pt>
                <c:pt idx="86">
                  <c:v>0.28519</c:v>
                </c:pt>
                <c:pt idx="87">
                  <c:v>0.28215000000000001</c:v>
                </c:pt>
                <c:pt idx="88">
                  <c:v>0.27978999999999998</c:v>
                </c:pt>
                <c:pt idx="89">
                  <c:v>0.27759</c:v>
                </c:pt>
                <c:pt idx="90">
                  <c:v>0.27562999999999999</c:v>
                </c:pt>
                <c:pt idx="91">
                  <c:v>0.27279999999999999</c:v>
                </c:pt>
                <c:pt idx="92">
                  <c:v>0.27034999999999998</c:v>
                </c:pt>
                <c:pt idx="93">
                  <c:v>0.26719999999999999</c:v>
                </c:pt>
                <c:pt idx="94">
                  <c:v>0.26533000000000001</c:v>
                </c:pt>
                <c:pt idx="95">
                  <c:v>0.26236999999999999</c:v>
                </c:pt>
                <c:pt idx="96">
                  <c:v>0.26018999999999998</c:v>
                </c:pt>
                <c:pt idx="97">
                  <c:v>0.25833</c:v>
                </c:pt>
                <c:pt idx="98">
                  <c:v>0.25574999999999998</c:v>
                </c:pt>
                <c:pt idx="99">
                  <c:v>0.25495000000000001</c:v>
                </c:pt>
                <c:pt idx="100">
                  <c:v>0.25319000000000003</c:v>
                </c:pt>
                <c:pt idx="101">
                  <c:v>0.25119000000000002</c:v>
                </c:pt>
                <c:pt idx="102">
                  <c:v>0.24840999999999999</c:v>
                </c:pt>
                <c:pt idx="103">
                  <c:v>0.24701999999999999</c:v>
                </c:pt>
                <c:pt idx="104">
                  <c:v>0.24421999999999999</c:v>
                </c:pt>
                <c:pt idx="105">
                  <c:v>0.24332000000000001</c:v>
                </c:pt>
                <c:pt idx="106">
                  <c:v>0.24149999999999999</c:v>
                </c:pt>
                <c:pt idx="107">
                  <c:v>0.24027000000000001</c:v>
                </c:pt>
                <c:pt idx="108">
                  <c:v>0.2387</c:v>
                </c:pt>
                <c:pt idx="109">
                  <c:v>0.23787</c:v>
                </c:pt>
                <c:pt idx="110">
                  <c:v>0.22988</c:v>
                </c:pt>
                <c:pt idx="111">
                  <c:v>0.22267000000000001</c:v>
                </c:pt>
                <c:pt idx="112">
                  <c:v>0.21387</c:v>
                </c:pt>
                <c:pt idx="113">
                  <c:v>0.20965</c:v>
                </c:pt>
                <c:pt idx="114">
                  <c:v>0.20421</c:v>
                </c:pt>
                <c:pt idx="115">
                  <c:v>0.19872999999999999</c:v>
                </c:pt>
                <c:pt idx="116">
                  <c:v>0.19417000000000001</c:v>
                </c:pt>
                <c:pt idx="117">
                  <c:v>0.19067999999999999</c:v>
                </c:pt>
                <c:pt idx="118">
                  <c:v>0.18733</c:v>
                </c:pt>
                <c:pt idx="119">
                  <c:v>0.18404999999999999</c:v>
                </c:pt>
                <c:pt idx="120">
                  <c:v>0.18096999999999999</c:v>
                </c:pt>
                <c:pt idx="121">
                  <c:v>0.17782000000000001</c:v>
                </c:pt>
                <c:pt idx="122">
                  <c:v>0.17509</c:v>
                </c:pt>
                <c:pt idx="123">
                  <c:v>0.17149</c:v>
                </c:pt>
                <c:pt idx="124">
                  <c:v>0.16708999999999999</c:v>
                </c:pt>
                <c:pt idx="125">
                  <c:v>0.16614999999999999</c:v>
                </c:pt>
                <c:pt idx="126">
                  <c:v>0.16667999999999999</c:v>
                </c:pt>
                <c:pt idx="127">
                  <c:v>0.16567999999999999</c:v>
                </c:pt>
                <c:pt idx="128">
                  <c:v>0.16439000000000001</c:v>
                </c:pt>
                <c:pt idx="129">
                  <c:v>0.16195000000000001</c:v>
                </c:pt>
                <c:pt idx="130">
                  <c:v>0.16031000000000001</c:v>
                </c:pt>
                <c:pt idx="131">
                  <c:v>0.15883</c:v>
                </c:pt>
                <c:pt idx="132">
                  <c:v>0.15711</c:v>
                </c:pt>
                <c:pt idx="133">
                  <c:v>0.15559999999999999</c:v>
                </c:pt>
                <c:pt idx="134">
                  <c:v>0.15415000000000001</c:v>
                </c:pt>
                <c:pt idx="135">
                  <c:v>0.15329000000000001</c:v>
                </c:pt>
                <c:pt idx="136">
                  <c:v>0.15226999999999999</c:v>
                </c:pt>
                <c:pt idx="137">
                  <c:v>0.15076000000000001</c:v>
                </c:pt>
                <c:pt idx="138">
                  <c:v>0.14871000000000001</c:v>
                </c:pt>
                <c:pt idx="139">
                  <c:v>0.14887</c:v>
                </c:pt>
                <c:pt idx="140">
                  <c:v>0.14763000000000001</c:v>
                </c:pt>
                <c:pt idx="141">
                  <c:v>0.14615</c:v>
                </c:pt>
                <c:pt idx="142">
                  <c:v>0.14593999999999999</c:v>
                </c:pt>
                <c:pt idx="143">
                  <c:v>0.14444000000000001</c:v>
                </c:pt>
                <c:pt idx="144">
                  <c:v>0.14363999999999999</c:v>
                </c:pt>
                <c:pt idx="145">
                  <c:v>0.14374999999999999</c:v>
                </c:pt>
                <c:pt idx="146">
                  <c:v>0.14302000000000001</c:v>
                </c:pt>
                <c:pt idx="147">
                  <c:v>0.14126</c:v>
                </c:pt>
                <c:pt idx="148">
                  <c:v>0.14147999999999999</c:v>
                </c:pt>
                <c:pt idx="149">
                  <c:v>0.14035</c:v>
                </c:pt>
                <c:pt idx="150">
                  <c:v>0.13996</c:v>
                </c:pt>
                <c:pt idx="151">
                  <c:v>0.13891999999999999</c:v>
                </c:pt>
                <c:pt idx="152">
                  <c:v>0.13835</c:v>
                </c:pt>
                <c:pt idx="153">
                  <c:v>0.13771</c:v>
                </c:pt>
                <c:pt idx="154">
                  <c:v>0.13768</c:v>
                </c:pt>
                <c:pt idx="155">
                  <c:v>0.13750999999999999</c:v>
                </c:pt>
                <c:pt idx="156">
                  <c:v>0.13517999999999999</c:v>
                </c:pt>
                <c:pt idx="157">
                  <c:v>0.13694999999999999</c:v>
                </c:pt>
                <c:pt idx="158">
                  <c:v>0.13616</c:v>
                </c:pt>
                <c:pt idx="159">
                  <c:v>0.13550999999999999</c:v>
                </c:pt>
                <c:pt idx="160">
                  <c:v>0.13521</c:v>
                </c:pt>
                <c:pt idx="161">
                  <c:v>0.13397999999999999</c:v>
                </c:pt>
                <c:pt idx="162">
                  <c:v>0.13408999999999999</c:v>
                </c:pt>
                <c:pt idx="163">
                  <c:v>0.13450000000000001</c:v>
                </c:pt>
                <c:pt idx="164">
                  <c:v>0.13400999999999999</c:v>
                </c:pt>
                <c:pt idx="165">
                  <c:v>0.13331999999999999</c:v>
                </c:pt>
                <c:pt idx="166">
                  <c:v>0.13333</c:v>
                </c:pt>
                <c:pt idx="167">
                  <c:v>0.13250999999999999</c:v>
                </c:pt>
                <c:pt idx="168">
                  <c:v>0.12598999999999999</c:v>
                </c:pt>
                <c:pt idx="169">
                  <c:v>0.128</c:v>
                </c:pt>
                <c:pt idx="170">
                  <c:v>0.12845999999999999</c:v>
                </c:pt>
                <c:pt idx="171">
                  <c:v>0.12773000000000001</c:v>
                </c:pt>
                <c:pt idx="172">
                  <c:v>0.12826000000000001</c:v>
                </c:pt>
                <c:pt idx="173">
                  <c:v>0.12851000000000001</c:v>
                </c:pt>
                <c:pt idx="174">
                  <c:v>0.12783</c:v>
                </c:pt>
                <c:pt idx="175">
                  <c:v>0.12709000000000001</c:v>
                </c:pt>
                <c:pt idx="176">
                  <c:v>0.12731000000000001</c:v>
                </c:pt>
                <c:pt idx="177">
                  <c:v>0.12731000000000001</c:v>
                </c:pt>
                <c:pt idx="178">
                  <c:v>0.12703</c:v>
                </c:pt>
                <c:pt idx="179">
                  <c:v>0.12728</c:v>
                </c:pt>
                <c:pt idx="180">
                  <c:v>0.12609000000000001</c:v>
                </c:pt>
                <c:pt idx="181">
                  <c:v>0.12676000000000001</c:v>
                </c:pt>
                <c:pt idx="182">
                  <c:v>0.12698999999999999</c:v>
                </c:pt>
                <c:pt idx="183">
                  <c:v>0.1258</c:v>
                </c:pt>
                <c:pt idx="184">
                  <c:v>0.12619</c:v>
                </c:pt>
                <c:pt idx="185">
                  <c:v>0.12545999999999999</c:v>
                </c:pt>
                <c:pt idx="186">
                  <c:v>0.12529999999999999</c:v>
                </c:pt>
                <c:pt idx="187">
                  <c:v>0.12496</c:v>
                </c:pt>
                <c:pt idx="188">
                  <c:v>0.12465</c:v>
                </c:pt>
                <c:pt idx="189">
                  <c:v>0.12463</c:v>
                </c:pt>
                <c:pt idx="190">
                  <c:v>0.1246</c:v>
                </c:pt>
                <c:pt idx="191">
                  <c:v>0.12397</c:v>
                </c:pt>
                <c:pt idx="192">
                  <c:v>0.12383</c:v>
                </c:pt>
                <c:pt idx="193">
                  <c:v>0.12288</c:v>
                </c:pt>
                <c:pt idx="194">
                  <c:v>0.12262000000000001</c:v>
                </c:pt>
                <c:pt idx="195">
                  <c:v>0.12298000000000001</c:v>
                </c:pt>
                <c:pt idx="196">
                  <c:v>0.12188</c:v>
                </c:pt>
                <c:pt idx="197">
                  <c:v>0.12257999999999999</c:v>
                </c:pt>
                <c:pt idx="198">
                  <c:v>0.12353</c:v>
                </c:pt>
                <c:pt idx="199">
                  <c:v>0.12303</c:v>
                </c:pt>
                <c:pt idx="200">
                  <c:v>0.12207</c:v>
                </c:pt>
                <c:pt idx="201">
                  <c:v>0.12207</c:v>
                </c:pt>
                <c:pt idx="202">
                  <c:v>0.12214999999999999</c:v>
                </c:pt>
                <c:pt idx="203">
                  <c:v>0.12181</c:v>
                </c:pt>
                <c:pt idx="204">
                  <c:v>0.12151000000000001</c:v>
                </c:pt>
                <c:pt idx="205">
                  <c:v>0.1215</c:v>
                </c:pt>
                <c:pt idx="206">
                  <c:v>0.12232999999999999</c:v>
                </c:pt>
                <c:pt idx="207">
                  <c:v>0.12196</c:v>
                </c:pt>
                <c:pt idx="208">
                  <c:v>0.12275999999999999</c:v>
                </c:pt>
                <c:pt idx="209">
                  <c:v>0.12212000000000001</c:v>
                </c:pt>
                <c:pt idx="210">
                  <c:v>0.12225999999999999</c:v>
                </c:pt>
                <c:pt idx="211">
                  <c:v>0.12282</c:v>
                </c:pt>
                <c:pt idx="212">
                  <c:v>0.12255000000000001</c:v>
                </c:pt>
                <c:pt idx="213">
                  <c:v>0.12196</c:v>
                </c:pt>
                <c:pt idx="214">
                  <c:v>0.12139</c:v>
                </c:pt>
                <c:pt idx="215">
                  <c:v>0.12125</c:v>
                </c:pt>
                <c:pt idx="216">
                  <c:v>0.12082</c:v>
                </c:pt>
                <c:pt idx="217">
                  <c:v>0.12164999999999999</c:v>
                </c:pt>
                <c:pt idx="218">
                  <c:v>0.12191</c:v>
                </c:pt>
                <c:pt idx="219">
                  <c:v>0.12078</c:v>
                </c:pt>
                <c:pt idx="220">
                  <c:v>0.1215</c:v>
                </c:pt>
                <c:pt idx="221">
                  <c:v>0.12114999999999999</c:v>
                </c:pt>
                <c:pt idx="222">
                  <c:v>0.11939</c:v>
                </c:pt>
                <c:pt idx="223">
                  <c:v>0.12002</c:v>
                </c:pt>
                <c:pt idx="224">
                  <c:v>0.12073</c:v>
                </c:pt>
                <c:pt idx="225">
                  <c:v>0.1201</c:v>
                </c:pt>
                <c:pt idx="226">
                  <c:v>0.12014</c:v>
                </c:pt>
                <c:pt idx="227">
                  <c:v>0.12005</c:v>
                </c:pt>
                <c:pt idx="228">
                  <c:v>0.12089</c:v>
                </c:pt>
                <c:pt idx="229">
                  <c:v>0.12023</c:v>
                </c:pt>
                <c:pt idx="230">
                  <c:v>0.11947000000000001</c:v>
                </c:pt>
                <c:pt idx="231">
                  <c:v>0.11842999999999999</c:v>
                </c:pt>
                <c:pt idx="232">
                  <c:v>0.11833</c:v>
                </c:pt>
                <c:pt idx="233">
                  <c:v>0.11903</c:v>
                </c:pt>
                <c:pt idx="234">
                  <c:v>0.1201</c:v>
                </c:pt>
                <c:pt idx="235">
                  <c:v>0.12075</c:v>
                </c:pt>
                <c:pt idx="236">
                  <c:v>0.11854000000000001</c:v>
                </c:pt>
                <c:pt idx="237">
                  <c:v>0.11763999999999999</c:v>
                </c:pt>
                <c:pt idx="238">
                  <c:v>0.11592</c:v>
                </c:pt>
                <c:pt idx="239">
                  <c:v>0.11799</c:v>
                </c:pt>
                <c:pt idx="240">
                  <c:v>0.11708</c:v>
                </c:pt>
                <c:pt idx="241">
                  <c:v>0.11778</c:v>
                </c:pt>
                <c:pt idx="242">
                  <c:v>0.11748</c:v>
                </c:pt>
                <c:pt idx="243">
                  <c:v>0.11735</c:v>
                </c:pt>
                <c:pt idx="244">
                  <c:v>0.11765</c:v>
                </c:pt>
                <c:pt idx="245">
                  <c:v>0.11804000000000001</c:v>
                </c:pt>
                <c:pt idx="246">
                  <c:v>0.11819</c:v>
                </c:pt>
                <c:pt idx="247">
                  <c:v>0.11889</c:v>
                </c:pt>
                <c:pt idx="248">
                  <c:v>0.11914</c:v>
                </c:pt>
                <c:pt idx="249">
                  <c:v>0.11840000000000001</c:v>
                </c:pt>
                <c:pt idx="250">
                  <c:v>0.11895</c:v>
                </c:pt>
                <c:pt idx="251">
                  <c:v>0.11885999999999999</c:v>
                </c:pt>
                <c:pt idx="252">
                  <c:v>0.1187</c:v>
                </c:pt>
                <c:pt idx="253">
                  <c:v>0.11924</c:v>
                </c:pt>
                <c:pt idx="254">
                  <c:v>0.11931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DF-46E3-8574-86B9F840B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96016"/>
        <c:axId val="537398368"/>
      </c:scatterChart>
      <c:valAx>
        <c:axId val="537396016"/>
        <c:scaling>
          <c:orientation val="minMax"/>
          <c:max val="7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 b="0"/>
                </a:pPr>
                <a:r>
                  <a:rPr lang="en-US" sz="1200" b="0"/>
                  <a:t>Square Wave Voltage, </a:t>
                </a:r>
                <a:r>
                  <a:rPr lang="en-US" sz="1200" b="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sz="1200" b="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rms</a:t>
                </a:r>
                <a:r>
                  <a:rPr lang="en-US" sz="1200" b="0"/>
                  <a:t> (V)</a:t>
                </a:r>
              </a:p>
            </c:rich>
          </c:tx>
          <c:layout>
            <c:manualLayout>
              <c:xMode val="edge"/>
              <c:yMode val="edge"/>
              <c:x val="0.43348142680081658"/>
              <c:y val="0.8931280949172024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8368"/>
        <c:crosses val="autoZero"/>
        <c:crossBetween val="midCat"/>
      </c:valAx>
      <c:valAx>
        <c:axId val="5373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 b="0"/>
                  <a:t>Retardance,</a:t>
                </a:r>
                <a:r>
                  <a:rPr lang="en-US" sz="1200" b="0" baseline="0"/>
                  <a:t> </a:t>
                </a:r>
                <a:r>
                  <a:rPr lang="en-US" sz="1200" b="0" i="1" baseline="0">
                    <a:latin typeface="Symbol" panose="05050102010706020507" pitchFamily="18" charset="2"/>
                  </a:rPr>
                  <a:t>d</a:t>
                </a:r>
                <a:r>
                  <a:rPr lang="en-US" sz="1200" b="0" baseline="0"/>
                  <a:t> (waves)</a:t>
                </a:r>
                <a:endParaRPr lang="en-US" sz="1200" b="0"/>
              </a:p>
            </c:rich>
          </c:tx>
          <c:layout>
            <c:manualLayout>
              <c:xMode val="edge"/>
              <c:yMode val="edge"/>
              <c:x val="1.5820255540974045E-2"/>
              <c:y val="0.3436280372432243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6016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58588794564741897"/>
          <c:y val="0.40524347525179238"/>
          <c:w val="0.17390820939049287"/>
          <c:h val="0.10579755017130182"/>
        </c:manualLayout>
      </c:layout>
      <c:overlay val="0"/>
      <c:spPr>
        <a:solidFill>
          <a:schemeClr val="bg2"/>
        </a:solidFill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Retardance, d (waves)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Sheet1!$P$2:$P$113</c:f>
              <c:numCache>
                <c:formatCode>General</c:formatCode>
                <c:ptCount val="112"/>
                <c:pt idx="0">
                  <c:v>1.4464880536675118</c:v>
                </c:pt>
                <c:pt idx="1">
                  <c:v>1.4464880536675118</c:v>
                </c:pt>
                <c:pt idx="2">
                  <c:v>1.4464880536675118</c:v>
                </c:pt>
                <c:pt idx="3">
                  <c:v>1.4464880536675118</c:v>
                </c:pt>
                <c:pt idx="4">
                  <c:v>1.4464880536675118</c:v>
                </c:pt>
                <c:pt idx="5">
                  <c:v>1.4464880536675118</c:v>
                </c:pt>
                <c:pt idx="6">
                  <c:v>1.4464880536675118</c:v>
                </c:pt>
                <c:pt idx="7">
                  <c:v>1.4458739770500169</c:v>
                </c:pt>
                <c:pt idx="8">
                  <c:v>1.4455587354353649</c:v>
                </c:pt>
                <c:pt idx="9">
                  <c:v>1.4445763451948221</c:v>
                </c:pt>
                <c:pt idx="10">
                  <c:v>1.4435305511531942</c:v>
                </c:pt>
                <c:pt idx="11">
                  <c:v>1.4416054113058954</c:v>
                </c:pt>
                <c:pt idx="12">
                  <c:v>1.4383019670950656</c:v>
                </c:pt>
                <c:pt idx="13">
                  <c:v>1.4330654548445667</c:v>
                </c:pt>
                <c:pt idx="14">
                  <c:v>1.4283966117162035</c:v>
                </c:pt>
                <c:pt idx="15">
                  <c:v>1.4187588105463451</c:v>
                </c:pt>
                <c:pt idx="16">
                  <c:v>1.3954625896436597</c:v>
                </c:pt>
                <c:pt idx="17">
                  <c:v>1.3661753369029699</c:v>
                </c:pt>
                <c:pt idx="18">
                  <c:v>1.3324254585025015</c:v>
                </c:pt>
                <c:pt idx="19">
                  <c:v>1.2955003103450626</c:v>
                </c:pt>
                <c:pt idx="20">
                  <c:v>1.2566864425356934</c:v>
                </c:pt>
                <c:pt idx="21">
                  <c:v>1.2163223692774925</c:v>
                </c:pt>
                <c:pt idx="22">
                  <c:v>1.1752760975843262</c:v>
                </c:pt>
                <c:pt idx="23">
                  <c:v>1.1340468600345444</c:v>
                </c:pt>
                <c:pt idx="24">
                  <c:v>1.0930794770456325</c:v>
                </c:pt>
                <c:pt idx="25">
                  <c:v>1.0527027807500151</c:v>
                </c:pt>
                <c:pt idx="26">
                  <c:v>1.0144906279892185</c:v>
                </c:pt>
                <c:pt idx="27">
                  <c:v>0.97682718089903198</c:v>
                </c:pt>
                <c:pt idx="28">
                  <c:v>0.95570845811230543</c:v>
                </c:pt>
                <c:pt idx="29">
                  <c:v>0.95284254557786086</c:v>
                </c:pt>
                <c:pt idx="30">
                  <c:v>0.91982146653195451</c:v>
                </c:pt>
                <c:pt idx="31">
                  <c:v>0.88466975454889074</c:v>
                </c:pt>
                <c:pt idx="32">
                  <c:v>0.85139259058985051</c:v>
                </c:pt>
                <c:pt idx="33">
                  <c:v>0.81998343527133577</c:v>
                </c:pt>
                <c:pt idx="34">
                  <c:v>0.79044058393738559</c:v>
                </c:pt>
                <c:pt idx="35">
                  <c:v>0.76251609541096466</c:v>
                </c:pt>
                <c:pt idx="36">
                  <c:v>0.7360078192103553</c:v>
                </c:pt>
                <c:pt idx="37">
                  <c:v>0.71068936993367215</c:v>
                </c:pt>
                <c:pt idx="38">
                  <c:v>0.68634800733850287</c:v>
                </c:pt>
                <c:pt idx="39">
                  <c:v>0.66279770821563899</c:v>
                </c:pt>
                <c:pt idx="40">
                  <c:v>0.64035995023166914</c:v>
                </c:pt>
                <c:pt idx="41">
                  <c:v>0.61859548068248171</c:v>
                </c:pt>
                <c:pt idx="42">
                  <c:v>0.59731789762328757</c:v>
                </c:pt>
                <c:pt idx="43">
                  <c:v>0.57692927170038877</c:v>
                </c:pt>
                <c:pt idx="44">
                  <c:v>0.55698031763474842</c:v>
                </c:pt>
                <c:pt idx="45">
                  <c:v>0.53814677383323561</c:v>
                </c:pt>
                <c:pt idx="46">
                  <c:v>0.52008542563809335</c:v>
                </c:pt>
                <c:pt idx="47">
                  <c:v>0.5</c:v>
                </c:pt>
                <c:pt idx="48">
                  <c:v>0.48561146265206612</c:v>
                </c:pt>
                <c:pt idx="49">
                  <c:v>0.47044294137135484</c:v>
                </c:pt>
                <c:pt idx="50">
                  <c:v>0.45668277602410151</c:v>
                </c:pt>
                <c:pt idx="51">
                  <c:v>0.44195534678401394</c:v>
                </c:pt>
                <c:pt idx="52">
                  <c:v>0.42862997904088546</c:v>
                </c:pt>
                <c:pt idx="53">
                  <c:v>0.41621055447133976</c:v>
                </c:pt>
                <c:pt idx="54">
                  <c:v>0.40418194224452986</c:v>
                </c:pt>
                <c:pt idx="55">
                  <c:v>0.39313336691017059</c:v>
                </c:pt>
                <c:pt idx="56">
                  <c:v>0.3826203279547164</c:v>
                </c:pt>
                <c:pt idx="57">
                  <c:v>0.37263179972703037</c:v>
                </c:pt>
                <c:pt idx="58">
                  <c:v>0.3632186157609209</c:v>
                </c:pt>
                <c:pt idx="59">
                  <c:v>0.35453729190458216</c:v>
                </c:pt>
                <c:pt idx="60">
                  <c:v>0.34593601147320563</c:v>
                </c:pt>
                <c:pt idx="61">
                  <c:v>0.33800557173391993</c:v>
                </c:pt>
                <c:pt idx="62">
                  <c:v>0.33078181007277063</c:v>
                </c:pt>
                <c:pt idx="63">
                  <c:v>0.32381266433823114</c:v>
                </c:pt>
                <c:pt idx="64">
                  <c:v>0.31703054399524938</c:v>
                </c:pt>
                <c:pt idx="65">
                  <c:v>0.31092883388216808</c:v>
                </c:pt>
                <c:pt idx="66">
                  <c:v>0.30484720073812177</c:v>
                </c:pt>
                <c:pt idx="67">
                  <c:v>0.29927908583447232</c:v>
                </c:pt>
                <c:pt idx="68">
                  <c:v>0.29373706357603679</c:v>
                </c:pt>
                <c:pt idx="69">
                  <c:v>0.28849575216625312</c:v>
                </c:pt>
                <c:pt idx="70">
                  <c:v>0.28347172484422484</c:v>
                </c:pt>
                <c:pt idx="71">
                  <c:v>0.27858572515429503</c:v>
                </c:pt>
                <c:pt idx="72">
                  <c:v>0.27400382848260296</c:v>
                </c:pt>
                <c:pt idx="73">
                  <c:v>0.26944189813939029</c:v>
                </c:pt>
                <c:pt idx="74">
                  <c:v>0.2653430738465718</c:v>
                </c:pt>
                <c:pt idx="75">
                  <c:v>0.2613574071721565</c:v>
                </c:pt>
                <c:pt idx="76">
                  <c:v>0.25720749700286316</c:v>
                </c:pt>
                <c:pt idx="77">
                  <c:v>0.25340493174919737</c:v>
                </c:pt>
                <c:pt idx="78">
                  <c:v>0.24963854751580372</c:v>
                </c:pt>
                <c:pt idx="79">
                  <c:v>0.2460378831315912</c:v>
                </c:pt>
                <c:pt idx="80">
                  <c:v>0.24257467669989749</c:v>
                </c:pt>
                <c:pt idx="81">
                  <c:v>0.2390392526401319</c:v>
                </c:pt>
                <c:pt idx="82">
                  <c:v>0.23567044000559478</c:v>
                </c:pt>
                <c:pt idx="83">
                  <c:v>0.23246756425238299</c:v>
                </c:pt>
                <c:pt idx="84">
                  <c:v>0.22936121664382475</c:v>
                </c:pt>
                <c:pt idx="85">
                  <c:v>0.2263508911796642</c:v>
                </c:pt>
                <c:pt idx="86">
                  <c:v>0.22340152078119116</c:v>
                </c:pt>
                <c:pt idx="87">
                  <c:v>0.22040803299016576</c:v>
                </c:pt>
                <c:pt idx="88">
                  <c:v>0.21768384809503077</c:v>
                </c:pt>
                <c:pt idx="89">
                  <c:v>0.21712387964224533</c:v>
                </c:pt>
                <c:pt idx="90">
                  <c:v>0.20214457276535475</c:v>
                </c:pt>
                <c:pt idx="91">
                  <c:v>0.19077990820737908</c:v>
                </c:pt>
                <c:pt idx="92">
                  <c:v>0.18083086254062197</c:v>
                </c:pt>
                <c:pt idx="93">
                  <c:v>0.17182999027167467</c:v>
                </c:pt>
                <c:pt idx="94">
                  <c:v>0.16363046873065934</c:v>
                </c:pt>
                <c:pt idx="95">
                  <c:v>0.1563239683069175</c:v>
                </c:pt>
                <c:pt idx="96">
                  <c:v>0.14959391583018869</c:v>
                </c:pt>
                <c:pt idx="97">
                  <c:v>0.14334983960309292</c:v>
                </c:pt>
                <c:pt idx="98">
                  <c:v>0.13767212418125926</c:v>
                </c:pt>
                <c:pt idx="99">
                  <c:v>0.13232706973484429</c:v>
                </c:pt>
                <c:pt idx="100">
                  <c:v>0.12743471995733699</c:v>
                </c:pt>
                <c:pt idx="101">
                  <c:v>0.12293296544523905</c:v>
                </c:pt>
                <c:pt idx="102">
                  <c:v>0.11870105049160493</c:v>
                </c:pt>
                <c:pt idx="103">
                  <c:v>0.11481138064729218</c:v>
                </c:pt>
                <c:pt idx="104">
                  <c:v>0.11107734339543604</c:v>
                </c:pt>
                <c:pt idx="105">
                  <c:v>0.10761963335579625</c:v>
                </c:pt>
                <c:pt idx="106">
                  <c:v>0.1044031861741543</c:v>
                </c:pt>
                <c:pt idx="107">
                  <c:v>0.10127308299183015</c:v>
                </c:pt>
                <c:pt idx="108">
                  <c:v>9.8471662031055993E-2</c:v>
                </c:pt>
                <c:pt idx="109">
                  <c:v>9.5720383064778758E-2</c:v>
                </c:pt>
                <c:pt idx="110">
                  <c:v>9.3084339810579481E-2</c:v>
                </c:pt>
                <c:pt idx="111">
                  <c:v>9.0698693682562434E-2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3A-4E19-92C3-2890720CF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96800"/>
        <c:axId val="537396408"/>
      </c:scatterChart>
      <c:valAx>
        <c:axId val="53739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6408"/>
        <c:crosses val="autoZero"/>
        <c:crossBetween val="midCat"/>
      </c:valAx>
      <c:valAx>
        <c:axId val="53739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451'!$B$1</c:f>
              <c:strCache>
                <c:ptCount val="1"/>
                <c:pt idx="0">
                  <c:v>I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451'!$A$2:$A$113</c:f>
              <c:numCache>
                <c:formatCode>General</c:formatCode>
                <c:ptCount val="112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7.1999999999999913</c:v>
                </c:pt>
                <c:pt idx="71">
                  <c:v>7.3999999999999915</c:v>
                </c:pt>
                <c:pt idx="72">
                  <c:v>7.5999999999999917</c:v>
                </c:pt>
                <c:pt idx="73">
                  <c:v>7.7999999999999918</c:v>
                </c:pt>
                <c:pt idx="74">
                  <c:v>7.999999999999992</c:v>
                </c:pt>
                <c:pt idx="75">
                  <c:v>8.1999999999999922</c:v>
                </c:pt>
                <c:pt idx="76">
                  <c:v>8.3999999999999915</c:v>
                </c:pt>
                <c:pt idx="77">
                  <c:v>8.5999999999999908</c:v>
                </c:pt>
                <c:pt idx="78">
                  <c:v>8.7999999999999901</c:v>
                </c:pt>
                <c:pt idx="79">
                  <c:v>8.9999999999999893</c:v>
                </c:pt>
                <c:pt idx="80">
                  <c:v>9.1999999999999886</c:v>
                </c:pt>
                <c:pt idx="81">
                  <c:v>9.3999999999999879</c:v>
                </c:pt>
                <c:pt idx="82">
                  <c:v>9.5999999999999872</c:v>
                </c:pt>
                <c:pt idx="83">
                  <c:v>9.7999999999999865</c:v>
                </c:pt>
                <c:pt idx="84">
                  <c:v>9.9999999999999858</c:v>
                </c:pt>
                <c:pt idx="85">
                  <c:v>10.499999999999986</c:v>
                </c:pt>
                <c:pt idx="86">
                  <c:v>10.999999999999986</c:v>
                </c:pt>
                <c:pt idx="87">
                  <c:v>11.499999999999986</c:v>
                </c:pt>
                <c:pt idx="88">
                  <c:v>11.999999999999986</c:v>
                </c:pt>
                <c:pt idx="89">
                  <c:v>12.499999999999986</c:v>
                </c:pt>
                <c:pt idx="90">
                  <c:v>12.999999999999986</c:v>
                </c:pt>
                <c:pt idx="91">
                  <c:v>13.499999999999986</c:v>
                </c:pt>
                <c:pt idx="92">
                  <c:v>13.999999999999986</c:v>
                </c:pt>
                <c:pt idx="93">
                  <c:v>14.499999999999986</c:v>
                </c:pt>
                <c:pt idx="94">
                  <c:v>14.999999999999986</c:v>
                </c:pt>
                <c:pt idx="95">
                  <c:v>15.499999999999986</c:v>
                </c:pt>
                <c:pt idx="96">
                  <c:v>15.999999999999986</c:v>
                </c:pt>
                <c:pt idx="97">
                  <c:v>16.499999999999986</c:v>
                </c:pt>
                <c:pt idx="98">
                  <c:v>16.999999999999986</c:v>
                </c:pt>
                <c:pt idx="99">
                  <c:v>17.499999999999986</c:v>
                </c:pt>
                <c:pt idx="100">
                  <c:v>17.999999999999986</c:v>
                </c:pt>
                <c:pt idx="101">
                  <c:v>18.499999999999986</c:v>
                </c:pt>
                <c:pt idx="102">
                  <c:v>18.999999999999986</c:v>
                </c:pt>
                <c:pt idx="103">
                  <c:v>19.499999999999986</c:v>
                </c:pt>
                <c:pt idx="104">
                  <c:v>19.999999999999986</c:v>
                </c:pt>
              </c:numCache>
            </c:numRef>
          </c:xVal>
          <c:yVal>
            <c:numRef>
              <c:f>'LCVR 451'!$B$2:$B$113</c:f>
              <c:numCache>
                <c:formatCode>General</c:formatCode>
                <c:ptCount val="112"/>
                <c:pt idx="0">
                  <c:v>0.24859999999999999</c:v>
                </c:pt>
                <c:pt idx="1">
                  <c:v>0.24840000000000001</c:v>
                </c:pt>
                <c:pt idx="2">
                  <c:v>0.248</c:v>
                </c:pt>
                <c:pt idx="3">
                  <c:v>0.2477</c:v>
                </c:pt>
                <c:pt idx="4">
                  <c:v>0.24729999999999999</c:v>
                </c:pt>
                <c:pt idx="5">
                  <c:v>0.24729999999999999</c:v>
                </c:pt>
                <c:pt idx="6">
                  <c:v>0.24640000000000001</c:v>
                </c:pt>
                <c:pt idx="7">
                  <c:v>0.246</c:v>
                </c:pt>
                <c:pt idx="8">
                  <c:v>0.24479999999999999</c:v>
                </c:pt>
                <c:pt idx="9">
                  <c:v>0.24379999999999999</c:v>
                </c:pt>
                <c:pt idx="10">
                  <c:v>0.2419</c:v>
                </c:pt>
                <c:pt idx="11">
                  <c:v>0.23899999999999999</c:v>
                </c:pt>
                <c:pt idx="12">
                  <c:v>0.23449999999999999</c:v>
                </c:pt>
                <c:pt idx="13">
                  <c:v>0.22689999999999999</c:v>
                </c:pt>
                <c:pt idx="14">
                  <c:v>0.21329999999999999</c:v>
                </c:pt>
                <c:pt idx="15">
                  <c:v>0.1915</c:v>
                </c:pt>
                <c:pt idx="16">
                  <c:v>0.16239999999999999</c:v>
                </c:pt>
                <c:pt idx="17">
                  <c:v>0.12820000000000001</c:v>
                </c:pt>
                <c:pt idx="18">
                  <c:v>9.2999999999999999E-2</c:v>
                </c:pt>
                <c:pt idx="19">
                  <c:v>0.06</c:v>
                </c:pt>
                <c:pt idx="20">
                  <c:v>3.2199999999999999E-2</c:v>
                </c:pt>
                <c:pt idx="21">
                  <c:v>1.23E-2</c:v>
                </c:pt>
                <c:pt idx="22">
                  <c:v>2.0999999999999999E-3</c:v>
                </c:pt>
                <c:pt idx="23">
                  <c:v>2.8999999999999998E-3</c:v>
                </c:pt>
                <c:pt idx="24">
                  <c:v>1.4999999999999999E-2</c:v>
                </c:pt>
                <c:pt idx="25">
                  <c:v>3.7600000000000001E-2</c:v>
                </c:pt>
                <c:pt idx="26">
                  <c:v>6.88E-2</c:v>
                </c:pt>
                <c:pt idx="27">
                  <c:v>0.1066</c:v>
                </c:pt>
                <c:pt idx="28">
                  <c:v>0.14810000000000001</c:v>
                </c:pt>
                <c:pt idx="29">
                  <c:v>0.19139999999999999</c:v>
                </c:pt>
                <c:pt idx="30">
                  <c:v>0.2341</c:v>
                </c:pt>
                <c:pt idx="31">
                  <c:v>0.27539999999999998</c:v>
                </c:pt>
                <c:pt idx="32">
                  <c:v>0.314</c:v>
                </c:pt>
                <c:pt idx="33">
                  <c:v>0.34899999999999998</c:v>
                </c:pt>
                <c:pt idx="34">
                  <c:v>0.38040000000000002</c:v>
                </c:pt>
                <c:pt idx="35">
                  <c:v>0.4073</c:v>
                </c:pt>
                <c:pt idx="36">
                  <c:v>0.43</c:v>
                </c:pt>
                <c:pt idx="37">
                  <c:v>0.44890000000000002</c:v>
                </c:pt>
                <c:pt idx="38">
                  <c:v>0.46239999999999998</c:v>
                </c:pt>
                <c:pt idx="39">
                  <c:v>0.47189999999999999</c:v>
                </c:pt>
                <c:pt idx="40">
                  <c:v>0.47799999999999998</c:v>
                </c:pt>
                <c:pt idx="41">
                  <c:v>0.47939999999999999</c:v>
                </c:pt>
                <c:pt idx="42">
                  <c:v>0.4783</c:v>
                </c:pt>
                <c:pt idx="43">
                  <c:v>0.47520000000000001</c:v>
                </c:pt>
                <c:pt idx="44">
                  <c:v>0.46920000000000001</c:v>
                </c:pt>
                <c:pt idx="45">
                  <c:v>0.46100000000000002</c:v>
                </c:pt>
                <c:pt idx="46">
                  <c:v>0.4516</c:v>
                </c:pt>
                <c:pt idx="47">
                  <c:v>0.441</c:v>
                </c:pt>
                <c:pt idx="48">
                  <c:v>0.43020000000000003</c:v>
                </c:pt>
                <c:pt idx="49">
                  <c:v>0.41810000000000003</c:v>
                </c:pt>
                <c:pt idx="50">
                  <c:v>0.40570000000000001</c:v>
                </c:pt>
                <c:pt idx="51">
                  <c:v>0.39329999999999998</c:v>
                </c:pt>
                <c:pt idx="52">
                  <c:v>0.38100000000000001</c:v>
                </c:pt>
                <c:pt idx="53">
                  <c:v>0.36840000000000001</c:v>
                </c:pt>
                <c:pt idx="54">
                  <c:v>0.35610000000000003</c:v>
                </c:pt>
                <c:pt idx="55">
                  <c:v>0.34439999999999998</c:v>
                </c:pt>
                <c:pt idx="56">
                  <c:v>0.33289999999999997</c:v>
                </c:pt>
                <c:pt idx="57">
                  <c:v>0.32179999999999997</c:v>
                </c:pt>
                <c:pt idx="58">
                  <c:v>0.311</c:v>
                </c:pt>
                <c:pt idx="59">
                  <c:v>0.30099999999999999</c:v>
                </c:pt>
                <c:pt idx="60">
                  <c:v>0.2908</c:v>
                </c:pt>
                <c:pt idx="61">
                  <c:v>0.28129999999999999</c:v>
                </c:pt>
                <c:pt idx="62">
                  <c:v>0.27229999999999999</c:v>
                </c:pt>
                <c:pt idx="63">
                  <c:v>0.2636</c:v>
                </c:pt>
                <c:pt idx="64">
                  <c:v>0.25540000000000002</c:v>
                </c:pt>
                <c:pt idx="65">
                  <c:v>0.2475</c:v>
                </c:pt>
                <c:pt idx="66">
                  <c:v>0.2399</c:v>
                </c:pt>
                <c:pt idx="67">
                  <c:v>0.23269999999999999</c:v>
                </c:pt>
                <c:pt idx="68">
                  <c:v>0.22559999999999999</c:v>
                </c:pt>
                <c:pt idx="69">
                  <c:v>0.21890000000000001</c:v>
                </c:pt>
                <c:pt idx="70">
                  <c:v>0.20660000000000001</c:v>
                </c:pt>
                <c:pt idx="71">
                  <c:v>0.19520000000000001</c:v>
                </c:pt>
                <c:pt idx="72">
                  <c:v>0.18479999999999999</c:v>
                </c:pt>
                <c:pt idx="73">
                  <c:v>0.17499999999999999</c:v>
                </c:pt>
                <c:pt idx="74">
                  <c:v>0.16600000000000001</c:v>
                </c:pt>
                <c:pt idx="75">
                  <c:v>0.1578</c:v>
                </c:pt>
                <c:pt idx="76">
                  <c:v>0.15010000000000001</c:v>
                </c:pt>
                <c:pt idx="77">
                  <c:v>0.1431</c:v>
                </c:pt>
                <c:pt idx="78">
                  <c:v>0.13650000000000001</c:v>
                </c:pt>
                <c:pt idx="79">
                  <c:v>0.1303</c:v>
                </c:pt>
                <c:pt idx="80">
                  <c:v>0.1246</c:v>
                </c:pt>
                <c:pt idx="81">
                  <c:v>0.1192</c:v>
                </c:pt>
                <c:pt idx="82">
                  <c:v>0.1143</c:v>
                </c:pt>
                <c:pt idx="83">
                  <c:v>0.1095</c:v>
                </c:pt>
                <c:pt idx="84">
                  <c:v>0.105</c:v>
                </c:pt>
                <c:pt idx="85">
                  <c:v>9.5200000000000007E-2</c:v>
                </c:pt>
                <c:pt idx="86">
                  <c:v>8.6699999999999999E-2</c:v>
                </c:pt>
                <c:pt idx="87">
                  <c:v>7.9299999999999995E-2</c:v>
                </c:pt>
                <c:pt idx="88">
                  <c:v>7.2800000000000004E-2</c:v>
                </c:pt>
                <c:pt idx="89">
                  <c:v>6.7000000000000004E-2</c:v>
                </c:pt>
                <c:pt idx="90">
                  <c:v>6.1800000000000001E-2</c:v>
                </c:pt>
                <c:pt idx="91">
                  <c:v>5.7299999999999997E-2</c:v>
                </c:pt>
                <c:pt idx="92">
                  <c:v>5.3199999999999997E-2</c:v>
                </c:pt>
                <c:pt idx="93">
                  <c:v>4.9599999999999998E-2</c:v>
                </c:pt>
                <c:pt idx="94">
                  <c:v>4.6300000000000001E-2</c:v>
                </c:pt>
                <c:pt idx="95">
                  <c:v>4.3400000000000001E-2</c:v>
                </c:pt>
                <c:pt idx="96">
                  <c:v>4.07E-2</c:v>
                </c:pt>
                <c:pt idx="97">
                  <c:v>3.8300000000000001E-2</c:v>
                </c:pt>
                <c:pt idx="98">
                  <c:v>3.61E-2</c:v>
                </c:pt>
                <c:pt idx="99">
                  <c:v>3.4000000000000002E-2</c:v>
                </c:pt>
                <c:pt idx="100">
                  <c:v>3.2099999999999997E-2</c:v>
                </c:pt>
                <c:pt idx="101">
                  <c:v>3.0499999999999999E-2</c:v>
                </c:pt>
                <c:pt idx="102">
                  <c:v>2.8799999999999999E-2</c:v>
                </c:pt>
                <c:pt idx="103">
                  <c:v>2.7300000000000001E-2</c:v>
                </c:pt>
                <c:pt idx="104">
                  <c:v>2.6100000000000002E-2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4C-4A5C-AB72-503C8728F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97584"/>
        <c:axId val="537395232"/>
      </c:scatterChart>
      <c:valAx>
        <c:axId val="53739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5232"/>
        <c:crosses val="autoZero"/>
        <c:crossBetween val="midCat"/>
      </c:valAx>
      <c:valAx>
        <c:axId val="53739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451'!$H$1</c:f>
              <c:strCache>
                <c:ptCount val="1"/>
                <c:pt idx="0">
                  <c:v>I_raw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451'!$G$2:$G$113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2.5455844122715678</c:v>
                </c:pt>
                <c:pt idx="71">
                  <c:v>2.6162950903902225</c:v>
                </c:pt>
                <c:pt idx="72">
                  <c:v>2.6870057685088775</c:v>
                </c:pt>
                <c:pt idx="73">
                  <c:v>2.7577164466275321</c:v>
                </c:pt>
                <c:pt idx="74">
                  <c:v>2.8284271247461872</c:v>
                </c:pt>
                <c:pt idx="75">
                  <c:v>2.8991378028648418</c:v>
                </c:pt>
                <c:pt idx="76">
                  <c:v>2.9698484809834964</c:v>
                </c:pt>
                <c:pt idx="77">
                  <c:v>3.040559159102151</c:v>
                </c:pt>
                <c:pt idx="78">
                  <c:v>3.1112698372208052</c:v>
                </c:pt>
                <c:pt idx="79">
                  <c:v>3.1819805153394598</c:v>
                </c:pt>
                <c:pt idx="80">
                  <c:v>3.2526911934581144</c:v>
                </c:pt>
                <c:pt idx="81">
                  <c:v>3.323401871576769</c:v>
                </c:pt>
                <c:pt idx="82">
                  <c:v>3.3941125496954232</c:v>
                </c:pt>
                <c:pt idx="83">
                  <c:v>3.4648232278140778</c:v>
                </c:pt>
                <c:pt idx="84">
                  <c:v>3.5355339059327324</c:v>
                </c:pt>
                <c:pt idx="85">
                  <c:v>3.7123106012293694</c:v>
                </c:pt>
                <c:pt idx="86">
                  <c:v>3.8890872965260059</c:v>
                </c:pt>
                <c:pt idx="87">
                  <c:v>4.0658639918226429</c:v>
                </c:pt>
                <c:pt idx="88">
                  <c:v>4.2426406871192794</c:v>
                </c:pt>
                <c:pt idx="89">
                  <c:v>4.4194173824159169</c:v>
                </c:pt>
                <c:pt idx="90">
                  <c:v>4.5961940777125534</c:v>
                </c:pt>
                <c:pt idx="91">
                  <c:v>4.7729707730091908</c:v>
                </c:pt>
                <c:pt idx="92">
                  <c:v>4.9497474683058273</c:v>
                </c:pt>
                <c:pt idx="93">
                  <c:v>5.1265241636024639</c:v>
                </c:pt>
                <c:pt idx="94">
                  <c:v>5.3033008588991013</c:v>
                </c:pt>
                <c:pt idx="95">
                  <c:v>5.4800775541957378</c:v>
                </c:pt>
                <c:pt idx="96">
                  <c:v>5.6568542494923744</c:v>
                </c:pt>
                <c:pt idx="97">
                  <c:v>5.8336309447890118</c:v>
                </c:pt>
                <c:pt idx="98">
                  <c:v>6.0104076400856483</c:v>
                </c:pt>
                <c:pt idx="99">
                  <c:v>6.1871843353822857</c:v>
                </c:pt>
                <c:pt idx="100">
                  <c:v>6.3639610306789223</c:v>
                </c:pt>
                <c:pt idx="101">
                  <c:v>6.5407377259755588</c:v>
                </c:pt>
                <c:pt idx="102">
                  <c:v>6.7175144212721962</c:v>
                </c:pt>
                <c:pt idx="103">
                  <c:v>6.8942911165688328</c:v>
                </c:pt>
                <c:pt idx="104">
                  <c:v>7.0710678118654702</c:v>
                </c:pt>
              </c:numCache>
            </c:numRef>
          </c:xVal>
          <c:yVal>
            <c:numRef>
              <c:f>'LCVR 451'!$H$2:$H$113</c:f>
              <c:numCache>
                <c:formatCode>General</c:formatCode>
                <c:ptCount val="112"/>
                <c:pt idx="0">
                  <c:v>0.24859999999999999</c:v>
                </c:pt>
                <c:pt idx="1">
                  <c:v>0.24840000000000001</c:v>
                </c:pt>
                <c:pt idx="2">
                  <c:v>0.248</c:v>
                </c:pt>
                <c:pt idx="3">
                  <c:v>0.2477</c:v>
                </c:pt>
                <c:pt idx="4">
                  <c:v>0.24729999999999999</c:v>
                </c:pt>
                <c:pt idx="5">
                  <c:v>0.24729999999999999</c:v>
                </c:pt>
                <c:pt idx="6">
                  <c:v>0.24640000000000001</c:v>
                </c:pt>
                <c:pt idx="7">
                  <c:v>0.246</c:v>
                </c:pt>
                <c:pt idx="8">
                  <c:v>0.24479999999999999</c:v>
                </c:pt>
                <c:pt idx="9">
                  <c:v>0.24379999999999999</c:v>
                </c:pt>
                <c:pt idx="10">
                  <c:v>0.2419</c:v>
                </c:pt>
                <c:pt idx="11">
                  <c:v>0.23899999999999999</c:v>
                </c:pt>
                <c:pt idx="12">
                  <c:v>0.23449999999999999</c:v>
                </c:pt>
                <c:pt idx="13">
                  <c:v>0.22689999999999999</c:v>
                </c:pt>
                <c:pt idx="14">
                  <c:v>0.21329999999999999</c:v>
                </c:pt>
                <c:pt idx="15">
                  <c:v>0.1915</c:v>
                </c:pt>
                <c:pt idx="16">
                  <c:v>0.16239999999999999</c:v>
                </c:pt>
                <c:pt idx="17">
                  <c:v>0.12820000000000001</c:v>
                </c:pt>
                <c:pt idx="18">
                  <c:v>9.2999999999999999E-2</c:v>
                </c:pt>
                <c:pt idx="19">
                  <c:v>0.06</c:v>
                </c:pt>
                <c:pt idx="20">
                  <c:v>3.2199999999999999E-2</c:v>
                </c:pt>
                <c:pt idx="21">
                  <c:v>1.23E-2</c:v>
                </c:pt>
                <c:pt idx="22">
                  <c:v>2.0999999999999999E-3</c:v>
                </c:pt>
                <c:pt idx="23">
                  <c:v>2.8999999999999998E-3</c:v>
                </c:pt>
                <c:pt idx="24">
                  <c:v>1.4999999999999999E-2</c:v>
                </c:pt>
                <c:pt idx="25">
                  <c:v>3.7600000000000001E-2</c:v>
                </c:pt>
                <c:pt idx="26">
                  <c:v>6.88E-2</c:v>
                </c:pt>
                <c:pt idx="27">
                  <c:v>0.1066</c:v>
                </c:pt>
                <c:pt idx="28">
                  <c:v>0.14810000000000001</c:v>
                </c:pt>
                <c:pt idx="29">
                  <c:v>0.19139999999999999</c:v>
                </c:pt>
                <c:pt idx="30">
                  <c:v>0.2341</c:v>
                </c:pt>
                <c:pt idx="31">
                  <c:v>0.27539999999999998</c:v>
                </c:pt>
                <c:pt idx="32">
                  <c:v>0.314</c:v>
                </c:pt>
                <c:pt idx="33">
                  <c:v>0.34899999999999998</c:v>
                </c:pt>
                <c:pt idx="34">
                  <c:v>0.38040000000000002</c:v>
                </c:pt>
                <c:pt idx="35">
                  <c:v>0.4073</c:v>
                </c:pt>
                <c:pt idx="36">
                  <c:v>0.43</c:v>
                </c:pt>
                <c:pt idx="37">
                  <c:v>0.44890000000000002</c:v>
                </c:pt>
                <c:pt idx="38">
                  <c:v>0.46239999999999998</c:v>
                </c:pt>
                <c:pt idx="39">
                  <c:v>0.47189999999999999</c:v>
                </c:pt>
                <c:pt idx="40">
                  <c:v>0.47799999999999998</c:v>
                </c:pt>
                <c:pt idx="41">
                  <c:v>0.47939999999999999</c:v>
                </c:pt>
                <c:pt idx="42">
                  <c:v>0.4783</c:v>
                </c:pt>
                <c:pt idx="43">
                  <c:v>0.47520000000000001</c:v>
                </c:pt>
                <c:pt idx="44">
                  <c:v>0.46920000000000001</c:v>
                </c:pt>
                <c:pt idx="45">
                  <c:v>0.46100000000000002</c:v>
                </c:pt>
                <c:pt idx="46">
                  <c:v>0.4516</c:v>
                </c:pt>
                <c:pt idx="47">
                  <c:v>0.441</c:v>
                </c:pt>
                <c:pt idx="48">
                  <c:v>0.43020000000000003</c:v>
                </c:pt>
                <c:pt idx="49">
                  <c:v>0.41810000000000003</c:v>
                </c:pt>
                <c:pt idx="50">
                  <c:v>0.40570000000000001</c:v>
                </c:pt>
                <c:pt idx="51">
                  <c:v>0.39329999999999998</c:v>
                </c:pt>
                <c:pt idx="52">
                  <c:v>0.38100000000000001</c:v>
                </c:pt>
                <c:pt idx="53">
                  <c:v>0.36840000000000001</c:v>
                </c:pt>
                <c:pt idx="54">
                  <c:v>0.35610000000000003</c:v>
                </c:pt>
                <c:pt idx="55">
                  <c:v>0.34439999999999998</c:v>
                </c:pt>
                <c:pt idx="56">
                  <c:v>0.33289999999999997</c:v>
                </c:pt>
                <c:pt idx="57">
                  <c:v>0.32179999999999997</c:v>
                </c:pt>
                <c:pt idx="58">
                  <c:v>0.311</c:v>
                </c:pt>
                <c:pt idx="59">
                  <c:v>0.30099999999999999</c:v>
                </c:pt>
                <c:pt idx="60">
                  <c:v>0.2908</c:v>
                </c:pt>
                <c:pt idx="61">
                  <c:v>0.28129999999999999</c:v>
                </c:pt>
                <c:pt idx="62">
                  <c:v>0.27229999999999999</c:v>
                </c:pt>
                <c:pt idx="63">
                  <c:v>0.2636</c:v>
                </c:pt>
                <c:pt idx="64">
                  <c:v>0.25540000000000002</c:v>
                </c:pt>
                <c:pt idx="65">
                  <c:v>0.2475</c:v>
                </c:pt>
                <c:pt idx="66">
                  <c:v>0.2399</c:v>
                </c:pt>
                <c:pt idx="67">
                  <c:v>0.23269999999999999</c:v>
                </c:pt>
                <c:pt idx="68">
                  <c:v>0.22559999999999999</c:v>
                </c:pt>
                <c:pt idx="69">
                  <c:v>0.21890000000000001</c:v>
                </c:pt>
                <c:pt idx="70">
                  <c:v>0.20660000000000001</c:v>
                </c:pt>
                <c:pt idx="71">
                  <c:v>0.19520000000000001</c:v>
                </c:pt>
                <c:pt idx="72">
                  <c:v>0.18479999999999999</c:v>
                </c:pt>
                <c:pt idx="73">
                  <c:v>0.17499999999999999</c:v>
                </c:pt>
                <c:pt idx="74">
                  <c:v>0.16600000000000001</c:v>
                </c:pt>
                <c:pt idx="75">
                  <c:v>0.1578</c:v>
                </c:pt>
                <c:pt idx="76">
                  <c:v>0.15010000000000001</c:v>
                </c:pt>
                <c:pt idx="77">
                  <c:v>0.1431</c:v>
                </c:pt>
                <c:pt idx="78">
                  <c:v>0.13650000000000001</c:v>
                </c:pt>
                <c:pt idx="79">
                  <c:v>0.1303</c:v>
                </c:pt>
                <c:pt idx="80">
                  <c:v>0.1246</c:v>
                </c:pt>
                <c:pt idx="81">
                  <c:v>0.1192</c:v>
                </c:pt>
                <c:pt idx="82">
                  <c:v>0.1143</c:v>
                </c:pt>
                <c:pt idx="83">
                  <c:v>0.1095</c:v>
                </c:pt>
                <c:pt idx="84">
                  <c:v>0.105</c:v>
                </c:pt>
                <c:pt idx="85">
                  <c:v>9.5200000000000007E-2</c:v>
                </c:pt>
                <c:pt idx="86">
                  <c:v>8.6699999999999999E-2</c:v>
                </c:pt>
                <c:pt idx="87">
                  <c:v>7.9299999999999995E-2</c:v>
                </c:pt>
                <c:pt idx="88">
                  <c:v>7.2800000000000004E-2</c:v>
                </c:pt>
                <c:pt idx="89">
                  <c:v>6.7000000000000004E-2</c:v>
                </c:pt>
                <c:pt idx="90">
                  <c:v>6.1800000000000001E-2</c:v>
                </c:pt>
                <c:pt idx="91">
                  <c:v>5.7299999999999997E-2</c:v>
                </c:pt>
                <c:pt idx="92">
                  <c:v>5.3199999999999997E-2</c:v>
                </c:pt>
                <c:pt idx="93">
                  <c:v>4.9599999999999998E-2</c:v>
                </c:pt>
                <c:pt idx="94">
                  <c:v>4.6300000000000001E-2</c:v>
                </c:pt>
                <c:pt idx="95">
                  <c:v>4.3400000000000001E-2</c:v>
                </c:pt>
                <c:pt idx="96">
                  <c:v>4.07E-2</c:v>
                </c:pt>
                <c:pt idx="97">
                  <c:v>3.8300000000000001E-2</c:v>
                </c:pt>
                <c:pt idx="98">
                  <c:v>3.61E-2</c:v>
                </c:pt>
                <c:pt idx="99">
                  <c:v>3.4000000000000002E-2</c:v>
                </c:pt>
                <c:pt idx="100">
                  <c:v>3.2099999999999997E-2</c:v>
                </c:pt>
                <c:pt idx="101">
                  <c:v>3.0499999999999999E-2</c:v>
                </c:pt>
                <c:pt idx="102">
                  <c:v>2.8799999999999999E-2</c:v>
                </c:pt>
                <c:pt idx="103">
                  <c:v>2.7300000000000001E-2</c:v>
                </c:pt>
                <c:pt idx="104">
                  <c:v>2.6100000000000002E-2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7A-40B3-A665-97377E93CF22}"/>
            </c:ext>
          </c:extLst>
        </c:ser>
        <c:ser>
          <c:idx val="1"/>
          <c:order val="1"/>
          <c:tx>
            <c:strRef>
              <c:f>'LCVR 451'!$I$1</c:f>
              <c:strCache>
                <c:ptCount val="1"/>
                <c:pt idx="0">
                  <c:v>I_normed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'LCVR 451'!$G$2:$G$113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2.5455844122715678</c:v>
                </c:pt>
                <c:pt idx="71">
                  <c:v>2.6162950903902225</c:v>
                </c:pt>
                <c:pt idx="72">
                  <c:v>2.6870057685088775</c:v>
                </c:pt>
                <c:pt idx="73">
                  <c:v>2.7577164466275321</c:v>
                </c:pt>
                <c:pt idx="74">
                  <c:v>2.8284271247461872</c:v>
                </c:pt>
                <c:pt idx="75">
                  <c:v>2.8991378028648418</c:v>
                </c:pt>
                <c:pt idx="76">
                  <c:v>2.9698484809834964</c:v>
                </c:pt>
                <c:pt idx="77">
                  <c:v>3.040559159102151</c:v>
                </c:pt>
                <c:pt idx="78">
                  <c:v>3.1112698372208052</c:v>
                </c:pt>
                <c:pt idx="79">
                  <c:v>3.1819805153394598</c:v>
                </c:pt>
                <c:pt idx="80">
                  <c:v>3.2526911934581144</c:v>
                </c:pt>
                <c:pt idx="81">
                  <c:v>3.323401871576769</c:v>
                </c:pt>
                <c:pt idx="82">
                  <c:v>3.3941125496954232</c:v>
                </c:pt>
                <c:pt idx="83">
                  <c:v>3.4648232278140778</c:v>
                </c:pt>
                <c:pt idx="84">
                  <c:v>3.5355339059327324</c:v>
                </c:pt>
                <c:pt idx="85">
                  <c:v>3.7123106012293694</c:v>
                </c:pt>
                <c:pt idx="86">
                  <c:v>3.8890872965260059</c:v>
                </c:pt>
                <c:pt idx="87">
                  <c:v>4.0658639918226429</c:v>
                </c:pt>
                <c:pt idx="88">
                  <c:v>4.2426406871192794</c:v>
                </c:pt>
                <c:pt idx="89">
                  <c:v>4.4194173824159169</c:v>
                </c:pt>
                <c:pt idx="90">
                  <c:v>4.5961940777125534</c:v>
                </c:pt>
                <c:pt idx="91">
                  <c:v>4.7729707730091908</c:v>
                </c:pt>
                <c:pt idx="92">
                  <c:v>4.9497474683058273</c:v>
                </c:pt>
                <c:pt idx="93">
                  <c:v>5.1265241636024639</c:v>
                </c:pt>
                <c:pt idx="94">
                  <c:v>5.3033008588991013</c:v>
                </c:pt>
                <c:pt idx="95">
                  <c:v>5.4800775541957378</c:v>
                </c:pt>
                <c:pt idx="96">
                  <c:v>5.6568542494923744</c:v>
                </c:pt>
                <c:pt idx="97">
                  <c:v>5.8336309447890118</c:v>
                </c:pt>
                <c:pt idx="98">
                  <c:v>6.0104076400856483</c:v>
                </c:pt>
                <c:pt idx="99">
                  <c:v>6.1871843353822857</c:v>
                </c:pt>
                <c:pt idx="100">
                  <c:v>6.3639610306789223</c:v>
                </c:pt>
                <c:pt idx="101">
                  <c:v>6.5407377259755588</c:v>
                </c:pt>
                <c:pt idx="102">
                  <c:v>6.7175144212721962</c:v>
                </c:pt>
                <c:pt idx="103">
                  <c:v>6.8942911165688328</c:v>
                </c:pt>
                <c:pt idx="104">
                  <c:v>7.0710678118654702</c:v>
                </c:pt>
              </c:numCache>
            </c:numRef>
          </c:xVal>
          <c:yVal>
            <c:numRef>
              <c:f>'LCVR 451'!$I$2:$I$113</c:f>
              <c:numCache>
                <c:formatCode>General</c:formatCode>
                <c:ptCount val="112"/>
                <c:pt idx="0">
                  <c:v>0.24859999999999999</c:v>
                </c:pt>
                <c:pt idx="1">
                  <c:v>0.24869257950530035</c:v>
                </c:pt>
                <c:pt idx="2">
                  <c:v>0.24819466248037675</c:v>
                </c:pt>
                <c:pt idx="3">
                  <c:v>0.24808915946582874</c:v>
                </c:pt>
                <c:pt idx="4">
                  <c:v>0.24778585461689587</c:v>
                </c:pt>
                <c:pt idx="5">
                  <c:v>0.24798073141958316</c:v>
                </c:pt>
                <c:pt idx="6">
                  <c:v>0.24707825403067243</c:v>
                </c:pt>
                <c:pt idx="7">
                  <c:v>0.24687131050767414</c:v>
                </c:pt>
                <c:pt idx="8">
                  <c:v>0.24566706021251475</c:v>
                </c:pt>
                <c:pt idx="9">
                  <c:v>0.24475984251968505</c:v>
                </c:pt>
                <c:pt idx="10">
                  <c:v>0.24294801102796376</c:v>
                </c:pt>
                <c:pt idx="11">
                  <c:v>0.24003544702638835</c:v>
                </c:pt>
                <c:pt idx="12">
                  <c:v>0.23560874704491724</c:v>
                </c:pt>
                <c:pt idx="13">
                  <c:v>0.22797281323877069</c:v>
                </c:pt>
                <c:pt idx="14">
                  <c:v>0.21430851063829787</c:v>
                </c:pt>
                <c:pt idx="15">
                  <c:v>0.19255717665615144</c:v>
                </c:pt>
                <c:pt idx="16">
                  <c:v>0.16329652996845426</c:v>
                </c:pt>
                <c:pt idx="17">
                  <c:v>0.12895857988165682</c:v>
                </c:pt>
                <c:pt idx="18">
                  <c:v>9.3550295857988172E-2</c:v>
                </c:pt>
                <c:pt idx="19">
                  <c:v>6.0355029585798817E-2</c:v>
                </c:pt>
                <c:pt idx="20">
                  <c:v>3.2428909952606631E-2</c:v>
                </c:pt>
                <c:pt idx="21">
                  <c:v>1.238255033557047E-2</c:v>
                </c:pt>
                <c:pt idx="22">
                  <c:v>2.1149289099526062E-3</c:v>
                </c:pt>
                <c:pt idx="23">
                  <c:v>2.919463087248322E-3</c:v>
                </c:pt>
                <c:pt idx="24">
                  <c:v>1.5112603713947058E-2</c:v>
                </c:pt>
                <c:pt idx="25">
                  <c:v>3.7867298578199052E-2</c:v>
                </c:pt>
                <c:pt idx="26">
                  <c:v>6.9316475701303837E-2</c:v>
                </c:pt>
                <c:pt idx="27">
                  <c:v>0.10744268774703558</c:v>
                </c:pt>
                <c:pt idx="28">
                  <c:v>0.1492707509881423</c:v>
                </c:pt>
                <c:pt idx="29">
                  <c:v>0.19291304347826085</c:v>
                </c:pt>
                <c:pt idx="30">
                  <c:v>0.23613726265822785</c:v>
                </c:pt>
                <c:pt idx="31">
                  <c:v>0.27801662707838476</c:v>
                </c:pt>
                <c:pt idx="32">
                  <c:v>0.31698337292161516</c:v>
                </c:pt>
                <c:pt idx="33">
                  <c:v>0.35259508716323296</c:v>
                </c:pt>
                <c:pt idx="34">
                  <c:v>0.3841663366336634</c:v>
                </c:pt>
                <c:pt idx="35">
                  <c:v>0.41182196669310078</c:v>
                </c:pt>
                <c:pt idx="36">
                  <c:v>0.43477398889770025</c:v>
                </c:pt>
                <c:pt idx="37">
                  <c:v>0.45352416798732176</c:v>
                </c:pt>
                <c:pt idx="38">
                  <c:v>0.46753370340999206</c:v>
                </c:pt>
                <c:pt idx="39">
                  <c:v>0.47751785714285716</c:v>
                </c:pt>
                <c:pt idx="40">
                  <c:v>0.48349861166203884</c:v>
                </c:pt>
                <c:pt idx="41">
                  <c:v>0.48568533969010724</c:v>
                </c:pt>
                <c:pt idx="42">
                  <c:v>0.48495626242544737</c:v>
                </c:pt>
                <c:pt idx="43">
                  <c:v>0.48143027413587597</c:v>
                </c:pt>
                <c:pt idx="44">
                  <c:v>0.47516282764098494</c:v>
                </c:pt>
                <c:pt idx="45">
                  <c:v>0.46760143198090698</c:v>
                </c:pt>
                <c:pt idx="46">
                  <c:v>0.45806682577565633</c:v>
                </c:pt>
                <c:pt idx="47">
                  <c:v>0.44731503579952264</c:v>
                </c:pt>
                <c:pt idx="48">
                  <c:v>0.43618687872763423</c:v>
                </c:pt>
                <c:pt idx="49">
                  <c:v>0.42425586947871075</c:v>
                </c:pt>
                <c:pt idx="50">
                  <c:v>0.41183718152866239</c:v>
                </c:pt>
                <c:pt idx="51">
                  <c:v>0.39909072821329089</c:v>
                </c:pt>
                <c:pt idx="52">
                  <c:v>0.38660962992439318</c:v>
                </c:pt>
                <c:pt idx="53">
                  <c:v>0.37397292993630571</c:v>
                </c:pt>
                <c:pt idx="54">
                  <c:v>0.36177490039840637</c:v>
                </c:pt>
                <c:pt idx="55">
                  <c:v>0.3497491039426523</c:v>
                </c:pt>
                <c:pt idx="56">
                  <c:v>0.33807048984468335</c:v>
                </c:pt>
                <c:pt idx="57">
                  <c:v>0.32679808841099162</c:v>
                </c:pt>
                <c:pt idx="58">
                  <c:v>0.31583034647550778</c:v>
                </c:pt>
                <c:pt idx="59">
                  <c:v>0.30567502986857825</c:v>
                </c:pt>
                <c:pt idx="60">
                  <c:v>0.29543426294820713</c:v>
                </c:pt>
                <c:pt idx="61">
                  <c:v>0.28589677162216021</c:v>
                </c:pt>
                <c:pt idx="62">
                  <c:v>0.27674970107612595</c:v>
                </c:pt>
                <c:pt idx="63">
                  <c:v>0.26790753288162616</c:v>
                </c:pt>
                <c:pt idx="64">
                  <c:v>0.25947011952191235</c:v>
                </c:pt>
                <c:pt idx="65">
                  <c:v>0.2514442231075697</c:v>
                </c:pt>
                <c:pt idx="66">
                  <c:v>0.24382024711040254</c:v>
                </c:pt>
                <c:pt idx="67">
                  <c:v>0.23631421744324968</c:v>
                </c:pt>
                <c:pt idx="68">
                  <c:v>0.22928656835392586</c:v>
                </c:pt>
                <c:pt idx="69">
                  <c:v>0.22256578947368422</c:v>
                </c:pt>
                <c:pt idx="70">
                  <c:v>0.20997608609007573</c:v>
                </c:pt>
                <c:pt idx="71">
                  <c:v>0.19838979673176568</c:v>
                </c:pt>
                <c:pt idx="72">
                  <c:v>0.18781984854523714</c:v>
                </c:pt>
                <c:pt idx="73">
                  <c:v>0.17800159553250894</c:v>
                </c:pt>
                <c:pt idx="74">
                  <c:v>0.16884722776226568</c:v>
                </c:pt>
                <c:pt idx="75">
                  <c:v>0.16050658157159953</c:v>
                </c:pt>
                <c:pt idx="76">
                  <c:v>0.15267451136816915</c:v>
                </c:pt>
                <c:pt idx="77">
                  <c:v>0.14555444754686875</c:v>
                </c:pt>
                <c:pt idx="78">
                  <c:v>0.13878588516746415</c:v>
                </c:pt>
                <c:pt idx="79">
                  <c:v>0.13248205741626795</c:v>
                </c:pt>
                <c:pt idx="80">
                  <c:v>0.1266866028708134</c:v>
                </c:pt>
                <c:pt idx="81">
                  <c:v>0.1211478676763651</c:v>
                </c:pt>
                <c:pt idx="82">
                  <c:v>0.11616779593463532</c:v>
                </c:pt>
                <c:pt idx="83">
                  <c:v>0.1112893583100837</c:v>
                </c:pt>
                <c:pt idx="84">
                  <c:v>0.10675837320574162</c:v>
                </c:pt>
                <c:pt idx="85">
                  <c:v>9.6832867969684877E-2</c:v>
                </c:pt>
                <c:pt idx="86">
                  <c:v>8.8187076186677288E-2</c:v>
                </c:pt>
                <c:pt idx="87">
                  <c:v>8.0724550898203587E-2</c:v>
                </c:pt>
                <c:pt idx="88">
                  <c:v>7.4078212290502793E-2</c:v>
                </c:pt>
                <c:pt idx="89">
                  <c:v>6.8176376695929783E-2</c:v>
                </c:pt>
                <c:pt idx="90">
                  <c:v>6.2859992022337455E-2</c:v>
                </c:pt>
                <c:pt idx="91">
                  <c:v>5.8306065442936955E-2</c:v>
                </c:pt>
                <c:pt idx="92">
                  <c:v>5.4112485041882728E-2</c:v>
                </c:pt>
                <c:pt idx="93">
                  <c:v>5.0491017964071849E-2</c:v>
                </c:pt>
                <c:pt idx="94">
                  <c:v>4.7131736526946105E-2</c:v>
                </c:pt>
                <c:pt idx="95">
                  <c:v>4.4179640718562875E-2</c:v>
                </c:pt>
                <c:pt idx="96">
                  <c:v>4.1431137724550891E-2</c:v>
                </c:pt>
                <c:pt idx="97">
                  <c:v>3.897246608140463E-2</c:v>
                </c:pt>
                <c:pt idx="98">
                  <c:v>3.6733838786911416E-2</c:v>
                </c:pt>
                <c:pt idx="99">
                  <c:v>3.459696727853153E-2</c:v>
                </c:pt>
                <c:pt idx="100">
                  <c:v>3.266360734237829E-2</c:v>
                </c:pt>
                <c:pt idx="101">
                  <c:v>3.1023135221380133E-2</c:v>
                </c:pt>
                <c:pt idx="102">
                  <c:v>2.9293976864778616E-2</c:v>
                </c:pt>
                <c:pt idx="103">
                  <c:v>2.7779329608938551E-2</c:v>
                </c:pt>
                <c:pt idx="104">
                  <c:v>2.6568862275449103E-2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7A-40B3-A665-97377E93CF22}"/>
            </c:ext>
          </c:extLst>
        </c:ser>
        <c:ser>
          <c:idx val="2"/>
          <c:order val="2"/>
          <c:tx>
            <c:strRef>
              <c:f>'LCVR 451'!$J$1</c:f>
              <c:strCache>
                <c:ptCount val="1"/>
                <c:pt idx="0">
                  <c:v>f (rad)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'LCVR 451'!$G$2:$G$113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2.5455844122715678</c:v>
                </c:pt>
                <c:pt idx="71">
                  <c:v>2.6162950903902225</c:v>
                </c:pt>
                <c:pt idx="72">
                  <c:v>2.6870057685088775</c:v>
                </c:pt>
                <c:pt idx="73">
                  <c:v>2.7577164466275321</c:v>
                </c:pt>
                <c:pt idx="74">
                  <c:v>2.8284271247461872</c:v>
                </c:pt>
                <c:pt idx="75">
                  <c:v>2.8991378028648418</c:v>
                </c:pt>
                <c:pt idx="76">
                  <c:v>2.9698484809834964</c:v>
                </c:pt>
                <c:pt idx="77">
                  <c:v>3.040559159102151</c:v>
                </c:pt>
                <c:pt idx="78">
                  <c:v>3.1112698372208052</c:v>
                </c:pt>
                <c:pt idx="79">
                  <c:v>3.1819805153394598</c:v>
                </c:pt>
                <c:pt idx="80">
                  <c:v>3.2526911934581144</c:v>
                </c:pt>
                <c:pt idx="81">
                  <c:v>3.323401871576769</c:v>
                </c:pt>
                <c:pt idx="82">
                  <c:v>3.3941125496954232</c:v>
                </c:pt>
                <c:pt idx="83">
                  <c:v>3.4648232278140778</c:v>
                </c:pt>
                <c:pt idx="84">
                  <c:v>3.5355339059327324</c:v>
                </c:pt>
                <c:pt idx="85">
                  <c:v>3.7123106012293694</c:v>
                </c:pt>
                <c:pt idx="86">
                  <c:v>3.8890872965260059</c:v>
                </c:pt>
                <c:pt idx="87">
                  <c:v>4.0658639918226429</c:v>
                </c:pt>
                <c:pt idx="88">
                  <c:v>4.2426406871192794</c:v>
                </c:pt>
                <c:pt idx="89">
                  <c:v>4.4194173824159169</c:v>
                </c:pt>
                <c:pt idx="90">
                  <c:v>4.5961940777125534</c:v>
                </c:pt>
                <c:pt idx="91">
                  <c:v>4.7729707730091908</c:v>
                </c:pt>
                <c:pt idx="92">
                  <c:v>4.9497474683058273</c:v>
                </c:pt>
                <c:pt idx="93">
                  <c:v>5.1265241636024639</c:v>
                </c:pt>
                <c:pt idx="94">
                  <c:v>5.3033008588991013</c:v>
                </c:pt>
                <c:pt idx="95">
                  <c:v>5.4800775541957378</c:v>
                </c:pt>
                <c:pt idx="96">
                  <c:v>5.6568542494923744</c:v>
                </c:pt>
                <c:pt idx="97">
                  <c:v>5.8336309447890118</c:v>
                </c:pt>
                <c:pt idx="98">
                  <c:v>6.0104076400856483</c:v>
                </c:pt>
                <c:pt idx="99">
                  <c:v>6.1871843353822857</c:v>
                </c:pt>
                <c:pt idx="100">
                  <c:v>6.3639610306789223</c:v>
                </c:pt>
                <c:pt idx="101">
                  <c:v>6.5407377259755588</c:v>
                </c:pt>
                <c:pt idx="102">
                  <c:v>6.7175144212721962</c:v>
                </c:pt>
                <c:pt idx="103">
                  <c:v>6.8942911165688328</c:v>
                </c:pt>
                <c:pt idx="104">
                  <c:v>7.0710678118654702</c:v>
                </c:pt>
              </c:numCache>
            </c:numRef>
          </c:xVal>
          <c:yVal>
            <c:numRef>
              <c:f>'LCVR 451'!$J$2:$J$113</c:f>
              <c:numCache>
                <c:formatCode>General</c:formatCode>
                <c:ptCount val="112"/>
                <c:pt idx="0">
                  <c:v>1.5945066147541467</c:v>
                </c:pt>
                <c:pt idx="1">
                  <c:v>1.5948879561201716</c:v>
                </c:pt>
                <c:pt idx="2">
                  <c:v>1.5928370414277448</c:v>
                </c:pt>
                <c:pt idx="3">
                  <c:v>1.5924024878791705</c:v>
                </c:pt>
                <c:pt idx="4">
                  <c:v>1.5911532360806186</c:v>
                </c:pt>
                <c:pt idx="5">
                  <c:v>1.5919558907467797</c:v>
                </c:pt>
                <c:pt idx="6">
                  <c:v>1.5882388914416357</c:v>
                </c:pt>
                <c:pt idx="7">
                  <c:v>1.587386596850517</c:v>
                </c:pt>
                <c:pt idx="8">
                  <c:v>1.5824271248285398</c:v>
                </c:pt>
                <c:pt idx="9">
                  <c:v>1.5786911197137483</c:v>
                </c:pt>
                <c:pt idx="10">
                  <c:v>1.571230110471715</c:v>
                </c:pt>
                <c:pt idx="11">
                  <c:v>1.5592362276339082</c:v>
                </c:pt>
                <c:pt idx="12">
                  <c:v>1.5410034033521383</c:v>
                </c:pt>
                <c:pt idx="13">
                  <c:v>1.5095255273070116</c:v>
                </c:pt>
                <c:pt idx="14">
                  <c:v>1.4530236573580666</c:v>
                </c:pt>
                <c:pt idx="15">
                  <c:v>1.3622169736270864</c:v>
                </c:pt>
                <c:pt idx="16">
                  <c:v>1.2370737927644915</c:v>
                </c:pt>
                <c:pt idx="17">
                  <c:v>1.0826806698923728</c:v>
                </c:pt>
                <c:pt idx="18">
                  <c:v>0.90870208408389364</c:v>
                </c:pt>
                <c:pt idx="19">
                  <c:v>0.72051737630922585</c:v>
                </c:pt>
                <c:pt idx="20">
                  <c:v>0.52272645185008093</c:v>
                </c:pt>
                <c:pt idx="21">
                  <c:v>0.32071585990595475</c:v>
                </c:pt>
                <c:pt idx="22">
                  <c:v>0.13207361975939058</c:v>
                </c:pt>
                <c:pt idx="23">
                  <c:v>0.15521727216671422</c:v>
                </c:pt>
                <c:pt idx="24">
                  <c:v>0.3546504750101791</c:v>
                </c:pt>
                <c:pt idx="25">
                  <c:v>0.56597431387787189</c:v>
                </c:pt>
                <c:pt idx="26">
                  <c:v>0.77479822159494804</c:v>
                </c:pt>
                <c:pt idx="27">
                  <c:v>0.979349622341528</c:v>
                </c:pt>
                <c:pt idx="28">
                  <c:v>1.1752427281454914</c:v>
                </c:pt>
                <c:pt idx="29">
                  <c:v>1.3637146231987565</c:v>
                </c:pt>
                <c:pt idx="30">
                  <c:v>1.5431806711463059</c:v>
                </c:pt>
                <c:pt idx="31">
                  <c:v>1.7161501930510275</c:v>
                </c:pt>
                <c:pt idx="32">
                  <c:v>1.881053396474297</c:v>
                </c:pt>
                <c:pt idx="33">
                  <c:v>2.0397449400281369</c:v>
                </c:pt>
                <c:pt idx="34">
                  <c:v>2.1919277905595025</c:v>
                </c:pt>
                <c:pt idx="35">
                  <c:v>2.3403831748012971</c:v>
                </c:pt>
                <c:pt idx="36">
                  <c:v>2.4821805305857279</c:v>
                </c:pt>
                <c:pt idx="37">
                  <c:v>2.6210788240274399</c:v>
                </c:pt>
                <c:pt idx="38">
                  <c:v>2.7524996628027916</c:v>
                </c:pt>
                <c:pt idx="39">
                  <c:v>2.8815040075781364</c:v>
                </c:pt>
                <c:pt idx="40">
                  <c:v>3.007292560155749</c:v>
                </c:pt>
                <c:pt idx="41">
                  <c:v>3.1415926535897931</c:v>
                </c:pt>
                <c:pt idx="42">
                  <c:v>3.0640843928682058</c:v>
                </c:pt>
                <c:pt idx="43">
                  <c:v>2.954118322902183</c:v>
                </c:pt>
                <c:pt idx="44">
                  <c:v>2.8461365212212524</c:v>
                </c:pt>
                <c:pt idx="45">
                  <c:v>2.7532355267276398</c:v>
                </c:pt>
                <c:pt idx="46">
                  <c:v>2.6600250136306913</c:v>
                </c:pt>
                <c:pt idx="47">
                  <c:v>2.5717673141984179</c:v>
                </c:pt>
                <c:pt idx="48">
                  <c:v>2.4917361966268157</c:v>
                </c:pt>
                <c:pt idx="49">
                  <c:v>2.4143946599250454</c:v>
                </c:pt>
                <c:pt idx="50">
                  <c:v>2.340470414929666</c:v>
                </c:pt>
                <c:pt idx="51">
                  <c:v>2.2697443073096428</c:v>
                </c:pt>
                <c:pt idx="52">
                  <c:v>2.2043554395177294</c:v>
                </c:pt>
                <c:pt idx="53">
                  <c:v>2.1412100420062568</c:v>
                </c:pt>
                <c:pt idx="54">
                  <c:v>2.0825994701484722</c:v>
                </c:pt>
                <c:pt idx="55">
                  <c:v>2.0266502498425618</c:v>
                </c:pt>
                <c:pt idx="56">
                  <c:v>1.9737508364433924</c:v>
                </c:pt>
                <c:pt idx="57">
                  <c:v>1.92380166288929</c:v>
                </c:pt>
                <c:pt idx="58">
                  <c:v>1.8760712552578471</c:v>
                </c:pt>
                <c:pt idx="59">
                  <c:v>1.8325106745710253</c:v>
                </c:pt>
                <c:pt idx="60">
                  <c:v>1.789092477455035</c:v>
                </c:pt>
                <c:pt idx="61">
                  <c:v>1.7490306662149324</c:v>
                </c:pt>
                <c:pt idx="62">
                  <c:v>1.7108795351144588</c:v>
                </c:pt>
                <c:pt idx="63">
                  <c:v>1.6741948824262982</c:v>
                </c:pt>
                <c:pt idx="64">
                  <c:v>1.6393199893085211</c:v>
                </c:pt>
                <c:pt idx="65">
                  <c:v>1.6062240086874426</c:v>
                </c:pt>
                <c:pt idx="66">
                  <c:v>1.5748218957210014</c:v>
                </c:pt>
                <c:pt idx="67">
                  <c:v>1.5439096225907736</c:v>
                </c:pt>
                <c:pt idx="68">
                  <c:v>1.5149447258975177</c:v>
                </c:pt>
                <c:pt idx="69">
                  <c:v>1.4872009847086181</c:v>
                </c:pt>
                <c:pt idx="70">
                  <c:v>1.4350386476769019</c:v>
                </c:pt>
                <c:pt idx="71">
                  <c:v>1.3867061582682938</c:v>
                </c:pt>
                <c:pt idx="72">
                  <c:v>1.3422333975000538</c:v>
                </c:pt>
                <c:pt idx="73">
                  <c:v>1.3005087630294785</c:v>
                </c:pt>
                <c:pt idx="74">
                  <c:v>1.2611673545213662</c:v>
                </c:pt>
                <c:pt idx="75">
                  <c:v>1.2248881958813758</c:v>
                </c:pt>
                <c:pt idx="76">
                  <c:v>1.1903846148913044</c:v>
                </c:pt>
                <c:pt idx="77">
                  <c:v>1.1586002451161852</c:v>
                </c:pt>
                <c:pt idx="78">
                  <c:v>1.127970259965668</c:v>
                </c:pt>
                <c:pt idx="79">
                  <c:v>1.0990381332374279</c:v>
                </c:pt>
                <c:pt idx="80">
                  <c:v>1.0720577063473717</c:v>
                </c:pt>
                <c:pt idx="81">
                  <c:v>1.0458967440267881</c:v>
                </c:pt>
                <c:pt idx="82">
                  <c:v>1.0220318591629829</c:v>
                </c:pt>
                <c:pt idx="83">
                  <c:v>0.99831146265269677</c:v>
                </c:pt>
                <c:pt idx="84">
                  <c:v>0.97595118818809101</c:v>
                </c:pt>
                <c:pt idx="85">
                  <c:v>0.92572846840039091</c:v>
                </c:pt>
                <c:pt idx="86">
                  <c:v>0.88038403880519822</c:v>
                </c:pt>
                <c:pt idx="87">
                  <c:v>0.83983594373540316</c:v>
                </c:pt>
                <c:pt idx="88">
                  <c:v>0.80244055680940218</c:v>
                </c:pt>
                <c:pt idx="89">
                  <c:v>0.76806404172097076</c:v>
                </c:pt>
                <c:pt idx="90">
                  <c:v>0.7360156149520124</c:v>
                </c:pt>
                <c:pt idx="91">
                  <c:v>0.70763415089487769</c:v>
                </c:pt>
                <c:pt idx="92">
                  <c:v>0.68063924730725001</c:v>
                </c:pt>
                <c:pt idx="93">
                  <c:v>0.65658171911727703</c:v>
                </c:pt>
                <c:pt idx="94">
                  <c:v>0.63357428954153661</c:v>
                </c:pt>
                <c:pt idx="95">
                  <c:v>0.61274399180214878</c:v>
                </c:pt>
                <c:pt idx="96">
                  <c:v>0.59277956382892494</c:v>
                </c:pt>
                <c:pt idx="97">
                  <c:v>0.57440529432965193</c:v>
                </c:pt>
                <c:pt idx="98">
                  <c:v>0.55720965758911123</c:v>
                </c:pt>
                <c:pt idx="99">
                  <c:v>0.54034080939384022</c:v>
                </c:pt>
                <c:pt idx="100">
                  <c:v>0.52465905480665898</c:v>
                </c:pt>
                <c:pt idx="101">
                  <c:v>0.51101191856665129</c:v>
                </c:pt>
                <c:pt idx="102">
                  <c:v>0.49625772788173439</c:v>
                </c:pt>
                <c:pt idx="103">
                  <c:v>0.48299545232890839</c:v>
                </c:pt>
                <c:pt idx="104">
                  <c:v>0.47215052885942521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7A-40B3-A665-97377E93CF22}"/>
            </c:ext>
          </c:extLst>
        </c:ser>
        <c:ser>
          <c:idx val="3"/>
          <c:order val="3"/>
          <c:tx>
            <c:strRef>
              <c:f>'LCVR 451'!$K$1</c:f>
              <c:strCache>
                <c:ptCount val="1"/>
                <c:pt idx="0">
                  <c:v>d with phase corr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'LCVR 451'!$G$2:$G$113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2.5455844122715678</c:v>
                </c:pt>
                <c:pt idx="71">
                  <c:v>2.6162950903902225</c:v>
                </c:pt>
                <c:pt idx="72">
                  <c:v>2.6870057685088775</c:v>
                </c:pt>
                <c:pt idx="73">
                  <c:v>2.7577164466275321</c:v>
                </c:pt>
                <c:pt idx="74">
                  <c:v>2.8284271247461872</c:v>
                </c:pt>
                <c:pt idx="75">
                  <c:v>2.8991378028648418</c:v>
                </c:pt>
                <c:pt idx="76">
                  <c:v>2.9698484809834964</c:v>
                </c:pt>
                <c:pt idx="77">
                  <c:v>3.040559159102151</c:v>
                </c:pt>
                <c:pt idx="78">
                  <c:v>3.1112698372208052</c:v>
                </c:pt>
                <c:pt idx="79">
                  <c:v>3.1819805153394598</c:v>
                </c:pt>
                <c:pt idx="80">
                  <c:v>3.2526911934581144</c:v>
                </c:pt>
                <c:pt idx="81">
                  <c:v>3.323401871576769</c:v>
                </c:pt>
                <c:pt idx="82">
                  <c:v>3.3941125496954232</c:v>
                </c:pt>
                <c:pt idx="83">
                  <c:v>3.4648232278140778</c:v>
                </c:pt>
                <c:pt idx="84">
                  <c:v>3.5355339059327324</c:v>
                </c:pt>
                <c:pt idx="85">
                  <c:v>3.7123106012293694</c:v>
                </c:pt>
                <c:pt idx="86">
                  <c:v>3.8890872965260059</c:v>
                </c:pt>
                <c:pt idx="87">
                  <c:v>4.0658639918226429</c:v>
                </c:pt>
                <c:pt idx="88">
                  <c:v>4.2426406871192794</c:v>
                </c:pt>
                <c:pt idx="89">
                  <c:v>4.4194173824159169</c:v>
                </c:pt>
                <c:pt idx="90">
                  <c:v>4.5961940777125534</c:v>
                </c:pt>
                <c:pt idx="91">
                  <c:v>4.7729707730091908</c:v>
                </c:pt>
                <c:pt idx="92">
                  <c:v>4.9497474683058273</c:v>
                </c:pt>
                <c:pt idx="93">
                  <c:v>5.1265241636024639</c:v>
                </c:pt>
                <c:pt idx="94">
                  <c:v>5.3033008588991013</c:v>
                </c:pt>
                <c:pt idx="95">
                  <c:v>5.4800775541957378</c:v>
                </c:pt>
                <c:pt idx="96">
                  <c:v>5.6568542494923744</c:v>
                </c:pt>
                <c:pt idx="97">
                  <c:v>5.8336309447890118</c:v>
                </c:pt>
                <c:pt idx="98">
                  <c:v>6.0104076400856483</c:v>
                </c:pt>
                <c:pt idx="99">
                  <c:v>6.1871843353822857</c:v>
                </c:pt>
                <c:pt idx="100">
                  <c:v>6.3639610306789223</c:v>
                </c:pt>
                <c:pt idx="101">
                  <c:v>6.5407377259755588</c:v>
                </c:pt>
                <c:pt idx="102">
                  <c:v>6.7175144212721962</c:v>
                </c:pt>
                <c:pt idx="103">
                  <c:v>6.8942911165688328</c:v>
                </c:pt>
                <c:pt idx="104">
                  <c:v>7.0710678118654702</c:v>
                </c:pt>
              </c:numCache>
            </c:numRef>
          </c:xVal>
          <c:yVal>
            <c:numRef>
              <c:f>'LCVR 451'!$K$2:$K$113</c:f>
              <c:numCache>
                <c:formatCode>General</c:formatCode>
                <c:ptCount val="112"/>
                <c:pt idx="0">
                  <c:v>4.6886786924254391</c:v>
                </c:pt>
                <c:pt idx="1">
                  <c:v>4.6882973510594148</c:v>
                </c:pt>
                <c:pt idx="2">
                  <c:v>4.6903482657518412</c:v>
                </c:pt>
                <c:pt idx="3">
                  <c:v>4.6907828193004155</c:v>
                </c:pt>
                <c:pt idx="4">
                  <c:v>4.6920320710989678</c:v>
                </c:pt>
                <c:pt idx="5">
                  <c:v>4.6912294164328063</c:v>
                </c:pt>
                <c:pt idx="6">
                  <c:v>4.6949464157379506</c:v>
                </c:pt>
                <c:pt idx="7">
                  <c:v>4.6957987103290693</c:v>
                </c:pt>
                <c:pt idx="8">
                  <c:v>4.7007581823510467</c:v>
                </c:pt>
                <c:pt idx="9">
                  <c:v>4.7044941874658379</c:v>
                </c:pt>
                <c:pt idx="10">
                  <c:v>4.711955196707871</c:v>
                </c:pt>
                <c:pt idx="11">
                  <c:v>4.7239490795456778</c:v>
                </c:pt>
                <c:pt idx="12">
                  <c:v>4.742181903827448</c:v>
                </c:pt>
                <c:pt idx="13">
                  <c:v>4.7736597798725748</c:v>
                </c:pt>
                <c:pt idx="14">
                  <c:v>4.8301616498215196</c:v>
                </c:pt>
                <c:pt idx="15">
                  <c:v>4.9209683335524996</c:v>
                </c:pt>
                <c:pt idx="16">
                  <c:v>5.0461115144150952</c:v>
                </c:pt>
                <c:pt idx="17">
                  <c:v>5.2005046372872137</c:v>
                </c:pt>
                <c:pt idx="18">
                  <c:v>5.3744832230956927</c:v>
                </c:pt>
                <c:pt idx="19">
                  <c:v>5.5626679308703606</c:v>
                </c:pt>
                <c:pt idx="20">
                  <c:v>5.7604588553295049</c:v>
                </c:pt>
                <c:pt idx="21">
                  <c:v>5.9624694472736319</c:v>
                </c:pt>
                <c:pt idx="22">
                  <c:v>6.1511116874201957</c:v>
                </c:pt>
                <c:pt idx="23">
                  <c:v>6.1279680350128718</c:v>
                </c:pt>
                <c:pt idx="24">
                  <c:v>5.9285348321694071</c:v>
                </c:pt>
                <c:pt idx="25">
                  <c:v>5.7172109933017143</c:v>
                </c:pt>
                <c:pt idx="26">
                  <c:v>5.508387085584638</c:v>
                </c:pt>
                <c:pt idx="27">
                  <c:v>5.3038356848380586</c:v>
                </c:pt>
                <c:pt idx="28">
                  <c:v>5.1079425790340949</c:v>
                </c:pt>
                <c:pt idx="29">
                  <c:v>4.9194706839808298</c:v>
                </c:pt>
                <c:pt idx="30">
                  <c:v>4.7400046360332801</c:v>
                </c:pt>
                <c:pt idx="31">
                  <c:v>4.5670351141285588</c:v>
                </c:pt>
                <c:pt idx="32">
                  <c:v>4.4021319107052896</c:v>
                </c:pt>
                <c:pt idx="33">
                  <c:v>4.2434403671514493</c:v>
                </c:pt>
                <c:pt idx="34">
                  <c:v>4.0912575166200842</c:v>
                </c:pt>
                <c:pt idx="35">
                  <c:v>3.9428021323782891</c:v>
                </c:pt>
                <c:pt idx="36">
                  <c:v>3.8010047765938584</c:v>
                </c:pt>
                <c:pt idx="37">
                  <c:v>3.6621064831521464</c:v>
                </c:pt>
                <c:pt idx="38">
                  <c:v>3.5306856443767947</c:v>
                </c:pt>
                <c:pt idx="39">
                  <c:v>3.4016812996014498</c:v>
                </c:pt>
                <c:pt idx="40">
                  <c:v>3.2758927470238373</c:v>
                </c:pt>
                <c:pt idx="41">
                  <c:v>3.1415926535897931</c:v>
                </c:pt>
                <c:pt idx="42">
                  <c:v>3.0640843928682058</c:v>
                </c:pt>
                <c:pt idx="43">
                  <c:v>2.954118322902183</c:v>
                </c:pt>
                <c:pt idx="44">
                  <c:v>2.8461365212212524</c:v>
                </c:pt>
                <c:pt idx="45">
                  <c:v>2.7532355267276398</c:v>
                </c:pt>
                <c:pt idx="46">
                  <c:v>2.6600250136306913</c:v>
                </c:pt>
                <c:pt idx="47">
                  <c:v>2.5717673141984179</c:v>
                </c:pt>
                <c:pt idx="48">
                  <c:v>2.4917361966268157</c:v>
                </c:pt>
                <c:pt idx="49">
                  <c:v>2.4143946599250454</c:v>
                </c:pt>
                <c:pt idx="50">
                  <c:v>2.340470414929666</c:v>
                </c:pt>
                <c:pt idx="51">
                  <c:v>2.2697443073096428</c:v>
                </c:pt>
                <c:pt idx="52">
                  <c:v>2.2043554395177294</c:v>
                </c:pt>
                <c:pt idx="53">
                  <c:v>2.1412100420062568</c:v>
                </c:pt>
                <c:pt idx="54">
                  <c:v>2.0825994701484722</c:v>
                </c:pt>
                <c:pt idx="55">
                  <c:v>2.0266502498425618</c:v>
                </c:pt>
                <c:pt idx="56">
                  <c:v>1.9737508364433924</c:v>
                </c:pt>
                <c:pt idx="57">
                  <c:v>1.92380166288929</c:v>
                </c:pt>
                <c:pt idx="58">
                  <c:v>1.8760712552578471</c:v>
                </c:pt>
                <c:pt idx="59">
                  <c:v>1.8325106745710253</c:v>
                </c:pt>
                <c:pt idx="60">
                  <c:v>1.789092477455035</c:v>
                </c:pt>
                <c:pt idx="61">
                  <c:v>1.7490306662149324</c:v>
                </c:pt>
                <c:pt idx="62">
                  <c:v>1.7108795351144588</c:v>
                </c:pt>
                <c:pt idx="63">
                  <c:v>1.6741948824262982</c:v>
                </c:pt>
                <c:pt idx="64">
                  <c:v>1.6393199893085211</c:v>
                </c:pt>
                <c:pt idx="65">
                  <c:v>1.6062240086874426</c:v>
                </c:pt>
                <c:pt idx="66">
                  <c:v>1.5748218957210014</c:v>
                </c:pt>
                <c:pt idx="67">
                  <c:v>1.5439096225907736</c:v>
                </c:pt>
                <c:pt idx="68">
                  <c:v>1.5149447258975177</c:v>
                </c:pt>
                <c:pt idx="69">
                  <c:v>1.4872009847086181</c:v>
                </c:pt>
                <c:pt idx="70">
                  <c:v>1.4350386476769019</c:v>
                </c:pt>
                <c:pt idx="71">
                  <c:v>1.3867061582682938</c:v>
                </c:pt>
                <c:pt idx="72">
                  <c:v>1.3422333975000538</c:v>
                </c:pt>
                <c:pt idx="73">
                  <c:v>1.3005087630294785</c:v>
                </c:pt>
                <c:pt idx="74">
                  <c:v>1.2611673545213662</c:v>
                </c:pt>
                <c:pt idx="75">
                  <c:v>1.2248881958813758</c:v>
                </c:pt>
                <c:pt idx="76">
                  <c:v>1.1903846148913044</c:v>
                </c:pt>
                <c:pt idx="77">
                  <c:v>1.1586002451161852</c:v>
                </c:pt>
                <c:pt idx="78">
                  <c:v>1.127970259965668</c:v>
                </c:pt>
                <c:pt idx="79">
                  <c:v>1.0990381332374279</c:v>
                </c:pt>
                <c:pt idx="80">
                  <c:v>1.0720577063473717</c:v>
                </c:pt>
                <c:pt idx="81">
                  <c:v>1.0458967440267881</c:v>
                </c:pt>
                <c:pt idx="82">
                  <c:v>1.0220318591629829</c:v>
                </c:pt>
                <c:pt idx="83">
                  <c:v>0.99831146265269677</c:v>
                </c:pt>
                <c:pt idx="84">
                  <c:v>0.97595118818809101</c:v>
                </c:pt>
                <c:pt idx="85">
                  <c:v>0.92572846840039091</c:v>
                </c:pt>
                <c:pt idx="86">
                  <c:v>0.88038403880519822</c:v>
                </c:pt>
                <c:pt idx="87">
                  <c:v>0.83983594373540316</c:v>
                </c:pt>
                <c:pt idx="88">
                  <c:v>0.80244055680940218</c:v>
                </c:pt>
                <c:pt idx="89">
                  <c:v>0.76806404172097076</c:v>
                </c:pt>
                <c:pt idx="90">
                  <c:v>0.7360156149520124</c:v>
                </c:pt>
                <c:pt idx="91">
                  <c:v>0.70763415089487769</c:v>
                </c:pt>
                <c:pt idx="92">
                  <c:v>0.68063924730725001</c:v>
                </c:pt>
                <c:pt idx="93">
                  <c:v>0.65658171911727703</c:v>
                </c:pt>
                <c:pt idx="94">
                  <c:v>0.63357428954153661</c:v>
                </c:pt>
                <c:pt idx="95">
                  <c:v>0.61274399180214878</c:v>
                </c:pt>
                <c:pt idx="96">
                  <c:v>0.59277956382892494</c:v>
                </c:pt>
                <c:pt idx="97">
                  <c:v>0.57440529432965193</c:v>
                </c:pt>
                <c:pt idx="98">
                  <c:v>0.55720965758911123</c:v>
                </c:pt>
                <c:pt idx="99">
                  <c:v>0.54034080939384022</c:v>
                </c:pt>
                <c:pt idx="100">
                  <c:v>0.52465905480665898</c:v>
                </c:pt>
                <c:pt idx="101">
                  <c:v>0.51101191856665129</c:v>
                </c:pt>
                <c:pt idx="102">
                  <c:v>0.49625772788173439</c:v>
                </c:pt>
                <c:pt idx="103">
                  <c:v>0.48299545232890839</c:v>
                </c:pt>
                <c:pt idx="104">
                  <c:v>0.47215052885942521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67A-40B3-A665-97377E93CF22}"/>
            </c:ext>
          </c:extLst>
        </c:ser>
        <c:ser>
          <c:idx val="4"/>
          <c:order val="4"/>
          <c:tx>
            <c:strRef>
              <c:f>'LCVR 451'!$L$1</c:f>
              <c:strCache>
                <c:ptCount val="1"/>
                <c:pt idx="0">
                  <c:v>d with 2nd phase corr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'LCVR 451'!$G$2:$G$113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2.5455844122715678</c:v>
                </c:pt>
                <c:pt idx="71">
                  <c:v>2.6162950903902225</c:v>
                </c:pt>
                <c:pt idx="72">
                  <c:v>2.6870057685088775</c:v>
                </c:pt>
                <c:pt idx="73">
                  <c:v>2.7577164466275321</c:v>
                </c:pt>
                <c:pt idx="74">
                  <c:v>2.8284271247461872</c:v>
                </c:pt>
                <c:pt idx="75">
                  <c:v>2.8991378028648418</c:v>
                </c:pt>
                <c:pt idx="76">
                  <c:v>2.9698484809834964</c:v>
                </c:pt>
                <c:pt idx="77">
                  <c:v>3.040559159102151</c:v>
                </c:pt>
                <c:pt idx="78">
                  <c:v>3.1112698372208052</c:v>
                </c:pt>
                <c:pt idx="79">
                  <c:v>3.1819805153394598</c:v>
                </c:pt>
                <c:pt idx="80">
                  <c:v>3.2526911934581144</c:v>
                </c:pt>
                <c:pt idx="81">
                  <c:v>3.323401871576769</c:v>
                </c:pt>
                <c:pt idx="82">
                  <c:v>3.3941125496954232</c:v>
                </c:pt>
                <c:pt idx="83">
                  <c:v>3.4648232278140778</c:v>
                </c:pt>
                <c:pt idx="84">
                  <c:v>3.5355339059327324</c:v>
                </c:pt>
                <c:pt idx="85">
                  <c:v>3.7123106012293694</c:v>
                </c:pt>
                <c:pt idx="86">
                  <c:v>3.8890872965260059</c:v>
                </c:pt>
                <c:pt idx="87">
                  <c:v>4.0658639918226429</c:v>
                </c:pt>
                <c:pt idx="88">
                  <c:v>4.2426406871192794</c:v>
                </c:pt>
                <c:pt idx="89">
                  <c:v>4.4194173824159169</c:v>
                </c:pt>
                <c:pt idx="90">
                  <c:v>4.5961940777125534</c:v>
                </c:pt>
                <c:pt idx="91">
                  <c:v>4.7729707730091908</c:v>
                </c:pt>
                <c:pt idx="92">
                  <c:v>4.9497474683058273</c:v>
                </c:pt>
                <c:pt idx="93">
                  <c:v>5.1265241636024639</c:v>
                </c:pt>
                <c:pt idx="94">
                  <c:v>5.3033008588991013</c:v>
                </c:pt>
                <c:pt idx="95">
                  <c:v>5.4800775541957378</c:v>
                </c:pt>
                <c:pt idx="96">
                  <c:v>5.6568542494923744</c:v>
                </c:pt>
                <c:pt idx="97">
                  <c:v>5.8336309447890118</c:v>
                </c:pt>
                <c:pt idx="98">
                  <c:v>6.0104076400856483</c:v>
                </c:pt>
                <c:pt idx="99">
                  <c:v>6.1871843353822857</c:v>
                </c:pt>
                <c:pt idx="100">
                  <c:v>6.3639610306789223</c:v>
                </c:pt>
                <c:pt idx="101">
                  <c:v>6.5407377259755588</c:v>
                </c:pt>
                <c:pt idx="102">
                  <c:v>6.7175144212721962</c:v>
                </c:pt>
                <c:pt idx="103">
                  <c:v>6.8942911165688328</c:v>
                </c:pt>
                <c:pt idx="104">
                  <c:v>7.0710678118654702</c:v>
                </c:pt>
              </c:numCache>
            </c:numRef>
          </c:xVal>
          <c:yVal>
            <c:numRef>
              <c:f>'LCVR 451'!$L$2:$L$113</c:f>
              <c:numCache>
                <c:formatCode>General</c:formatCode>
                <c:ptCount val="112"/>
                <c:pt idx="0">
                  <c:v>7.6135446824149522</c:v>
                </c:pt>
                <c:pt idx="1">
                  <c:v>7.6139260237809765</c:v>
                </c:pt>
                <c:pt idx="2">
                  <c:v>7.6118751090885501</c:v>
                </c:pt>
                <c:pt idx="3">
                  <c:v>7.6114405555399758</c:v>
                </c:pt>
                <c:pt idx="4">
                  <c:v>7.6101913037414235</c:v>
                </c:pt>
                <c:pt idx="5">
                  <c:v>7.610993958407585</c:v>
                </c:pt>
                <c:pt idx="6">
                  <c:v>7.6072769591024407</c:v>
                </c:pt>
                <c:pt idx="7">
                  <c:v>7.606424664511322</c:v>
                </c:pt>
                <c:pt idx="8">
                  <c:v>7.6014651924893446</c:v>
                </c:pt>
                <c:pt idx="9">
                  <c:v>7.5977291873745534</c:v>
                </c:pt>
                <c:pt idx="10">
                  <c:v>7.5902681781325203</c:v>
                </c:pt>
                <c:pt idx="11">
                  <c:v>7.5782742952947135</c:v>
                </c:pt>
                <c:pt idx="12">
                  <c:v>7.5600414710129433</c:v>
                </c:pt>
                <c:pt idx="13">
                  <c:v>7.5285635949678165</c:v>
                </c:pt>
                <c:pt idx="14">
                  <c:v>7.4720617250188717</c:v>
                </c:pt>
                <c:pt idx="15">
                  <c:v>7.3812550412878917</c:v>
                </c:pt>
                <c:pt idx="16">
                  <c:v>7.2561118604252961</c:v>
                </c:pt>
                <c:pt idx="17">
                  <c:v>7.1017187375531776</c:v>
                </c:pt>
                <c:pt idx="18">
                  <c:v>6.9277401517446986</c:v>
                </c:pt>
                <c:pt idx="19">
                  <c:v>6.7395554439700307</c:v>
                </c:pt>
                <c:pt idx="20">
                  <c:v>6.5417645195108864</c:v>
                </c:pt>
                <c:pt idx="21">
                  <c:v>6.3397539275667594</c:v>
                </c:pt>
                <c:pt idx="22">
                  <c:v>6.1511116874201957</c:v>
                </c:pt>
                <c:pt idx="23">
                  <c:v>6.1279680350128718</c:v>
                </c:pt>
                <c:pt idx="24">
                  <c:v>5.9285348321694071</c:v>
                </c:pt>
                <c:pt idx="25">
                  <c:v>5.7172109933017143</c:v>
                </c:pt>
                <c:pt idx="26">
                  <c:v>5.508387085584638</c:v>
                </c:pt>
                <c:pt idx="27">
                  <c:v>5.3038356848380586</c:v>
                </c:pt>
                <c:pt idx="28">
                  <c:v>5.1079425790340949</c:v>
                </c:pt>
                <c:pt idx="29">
                  <c:v>4.9194706839808298</c:v>
                </c:pt>
                <c:pt idx="30">
                  <c:v>4.7400046360332801</c:v>
                </c:pt>
                <c:pt idx="31">
                  <c:v>4.5670351141285588</c:v>
                </c:pt>
                <c:pt idx="32">
                  <c:v>4.4021319107052896</c:v>
                </c:pt>
                <c:pt idx="33">
                  <c:v>4.2434403671514493</c:v>
                </c:pt>
                <c:pt idx="34">
                  <c:v>4.0912575166200842</c:v>
                </c:pt>
                <c:pt idx="35">
                  <c:v>3.9428021323782891</c:v>
                </c:pt>
                <c:pt idx="36">
                  <c:v>3.8010047765938584</c:v>
                </c:pt>
                <c:pt idx="37">
                  <c:v>3.6621064831521464</c:v>
                </c:pt>
                <c:pt idx="38">
                  <c:v>3.5306856443767947</c:v>
                </c:pt>
                <c:pt idx="39">
                  <c:v>3.4016812996014498</c:v>
                </c:pt>
                <c:pt idx="40">
                  <c:v>3.2758927470238373</c:v>
                </c:pt>
                <c:pt idx="41">
                  <c:v>3.1415926535897931</c:v>
                </c:pt>
                <c:pt idx="42">
                  <c:v>3.0640843928682058</c:v>
                </c:pt>
                <c:pt idx="43">
                  <c:v>2.954118322902183</c:v>
                </c:pt>
                <c:pt idx="44">
                  <c:v>2.8461365212212524</c:v>
                </c:pt>
                <c:pt idx="45">
                  <c:v>2.7532355267276398</c:v>
                </c:pt>
                <c:pt idx="46">
                  <c:v>2.6600250136306913</c:v>
                </c:pt>
                <c:pt idx="47">
                  <c:v>2.5717673141984179</c:v>
                </c:pt>
                <c:pt idx="48">
                  <c:v>2.4917361966268157</c:v>
                </c:pt>
                <c:pt idx="49">
                  <c:v>2.4143946599250454</c:v>
                </c:pt>
                <c:pt idx="50">
                  <c:v>2.340470414929666</c:v>
                </c:pt>
                <c:pt idx="51">
                  <c:v>2.2697443073096428</c:v>
                </c:pt>
                <c:pt idx="52">
                  <c:v>2.2043554395177294</c:v>
                </c:pt>
                <c:pt idx="53">
                  <c:v>2.1412100420062568</c:v>
                </c:pt>
                <c:pt idx="54">
                  <c:v>2.0825994701484722</c:v>
                </c:pt>
                <c:pt idx="55">
                  <c:v>2.0266502498425618</c:v>
                </c:pt>
                <c:pt idx="56">
                  <c:v>1.9737508364433924</c:v>
                </c:pt>
                <c:pt idx="57">
                  <c:v>1.92380166288929</c:v>
                </c:pt>
                <c:pt idx="58">
                  <c:v>1.8760712552578471</c:v>
                </c:pt>
                <c:pt idx="59">
                  <c:v>1.8325106745710253</c:v>
                </c:pt>
                <c:pt idx="60">
                  <c:v>1.789092477455035</c:v>
                </c:pt>
                <c:pt idx="61">
                  <c:v>1.7490306662149324</c:v>
                </c:pt>
                <c:pt idx="62">
                  <c:v>1.7108795351144588</c:v>
                </c:pt>
                <c:pt idx="63">
                  <c:v>1.6741948824262982</c:v>
                </c:pt>
                <c:pt idx="64">
                  <c:v>1.6393199893085211</c:v>
                </c:pt>
                <c:pt idx="65">
                  <c:v>1.6062240086874426</c:v>
                </c:pt>
                <c:pt idx="66">
                  <c:v>1.5748218957210014</c:v>
                </c:pt>
                <c:pt idx="67">
                  <c:v>1.5439096225907736</c:v>
                </c:pt>
                <c:pt idx="68">
                  <c:v>1.5149447258975177</c:v>
                </c:pt>
                <c:pt idx="69">
                  <c:v>1.4872009847086181</c:v>
                </c:pt>
                <c:pt idx="70">
                  <c:v>1.4350386476769019</c:v>
                </c:pt>
                <c:pt idx="71">
                  <c:v>1.3867061582682938</c:v>
                </c:pt>
                <c:pt idx="72">
                  <c:v>1.3422333975000538</c:v>
                </c:pt>
                <c:pt idx="73">
                  <c:v>1.3005087630294785</c:v>
                </c:pt>
                <c:pt idx="74">
                  <c:v>1.2611673545213662</c:v>
                </c:pt>
                <c:pt idx="75">
                  <c:v>1.2248881958813758</c:v>
                </c:pt>
                <c:pt idx="76">
                  <c:v>1.1903846148913044</c:v>
                </c:pt>
                <c:pt idx="77">
                  <c:v>1.1586002451161852</c:v>
                </c:pt>
                <c:pt idx="78">
                  <c:v>1.127970259965668</c:v>
                </c:pt>
                <c:pt idx="79">
                  <c:v>1.0990381332374279</c:v>
                </c:pt>
                <c:pt idx="80">
                  <c:v>1.0720577063473717</c:v>
                </c:pt>
                <c:pt idx="81">
                  <c:v>1.0458967440267881</c:v>
                </c:pt>
                <c:pt idx="82">
                  <c:v>1.0220318591629829</c:v>
                </c:pt>
                <c:pt idx="83">
                  <c:v>0.99831146265269677</c:v>
                </c:pt>
                <c:pt idx="84">
                  <c:v>0.97595118818809101</c:v>
                </c:pt>
                <c:pt idx="85">
                  <c:v>0.92572846840039091</c:v>
                </c:pt>
                <c:pt idx="86">
                  <c:v>0.88038403880519822</c:v>
                </c:pt>
                <c:pt idx="87">
                  <c:v>0.83983594373540316</c:v>
                </c:pt>
                <c:pt idx="88">
                  <c:v>0.80244055680940218</c:v>
                </c:pt>
                <c:pt idx="89">
                  <c:v>0.76806404172097076</c:v>
                </c:pt>
                <c:pt idx="90">
                  <c:v>0.7360156149520124</c:v>
                </c:pt>
                <c:pt idx="91">
                  <c:v>0.70763415089487769</c:v>
                </c:pt>
                <c:pt idx="92">
                  <c:v>0.68063924730725001</c:v>
                </c:pt>
                <c:pt idx="93">
                  <c:v>0.65658171911727703</c:v>
                </c:pt>
                <c:pt idx="94">
                  <c:v>0.63357428954153661</c:v>
                </c:pt>
                <c:pt idx="95">
                  <c:v>0.61274399180214878</c:v>
                </c:pt>
                <c:pt idx="96">
                  <c:v>0.59277956382892494</c:v>
                </c:pt>
                <c:pt idx="97">
                  <c:v>0.57440529432965193</c:v>
                </c:pt>
                <c:pt idx="98">
                  <c:v>0.55720965758911123</c:v>
                </c:pt>
                <c:pt idx="99">
                  <c:v>0.54034080939384022</c:v>
                </c:pt>
                <c:pt idx="100">
                  <c:v>0.52465905480665898</c:v>
                </c:pt>
                <c:pt idx="101">
                  <c:v>0.51101191856665129</c:v>
                </c:pt>
                <c:pt idx="102">
                  <c:v>0.49625772788173439</c:v>
                </c:pt>
                <c:pt idx="103">
                  <c:v>0.48299545232890839</c:v>
                </c:pt>
                <c:pt idx="104">
                  <c:v>0.47215052885942521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67A-40B3-A665-97377E93C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94840"/>
        <c:axId val="513286304"/>
      </c:scatterChart>
      <c:valAx>
        <c:axId val="537394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6304"/>
        <c:crosses val="autoZero"/>
        <c:crossBetween val="midCat"/>
      </c:valAx>
      <c:valAx>
        <c:axId val="5132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94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'LCVR 451'!$P$1</c:f>
              <c:strCache>
                <c:ptCount val="1"/>
                <c:pt idx="0">
                  <c:v>retardance (waves)</c:v>
                </c:pt>
              </c:strCache>
            </c:strRef>
          </c:tx>
          <c:marker>
            <c:symbol val="none"/>
          </c:marker>
          <c:xVal>
            <c:numRef>
              <c:f>'LCVR 451'!$O$2:$O$113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2.5455844122715678</c:v>
                </c:pt>
                <c:pt idx="71">
                  <c:v>2.6162950903902225</c:v>
                </c:pt>
                <c:pt idx="72">
                  <c:v>2.6870057685088775</c:v>
                </c:pt>
                <c:pt idx="73">
                  <c:v>2.7577164466275321</c:v>
                </c:pt>
                <c:pt idx="74">
                  <c:v>2.8284271247461872</c:v>
                </c:pt>
                <c:pt idx="75">
                  <c:v>2.8991378028648418</c:v>
                </c:pt>
                <c:pt idx="76">
                  <c:v>2.9698484809834964</c:v>
                </c:pt>
                <c:pt idx="77">
                  <c:v>3.040559159102151</c:v>
                </c:pt>
                <c:pt idx="78">
                  <c:v>3.1112698372208052</c:v>
                </c:pt>
                <c:pt idx="79">
                  <c:v>3.1819805153394598</c:v>
                </c:pt>
                <c:pt idx="80">
                  <c:v>3.2526911934581144</c:v>
                </c:pt>
                <c:pt idx="81">
                  <c:v>3.323401871576769</c:v>
                </c:pt>
                <c:pt idx="82">
                  <c:v>3.3941125496954232</c:v>
                </c:pt>
                <c:pt idx="83">
                  <c:v>3.4648232278140778</c:v>
                </c:pt>
                <c:pt idx="84">
                  <c:v>3.5355339059327324</c:v>
                </c:pt>
                <c:pt idx="85">
                  <c:v>3.7123106012293694</c:v>
                </c:pt>
                <c:pt idx="86">
                  <c:v>3.8890872965260059</c:v>
                </c:pt>
                <c:pt idx="87">
                  <c:v>4.0658639918226429</c:v>
                </c:pt>
                <c:pt idx="88">
                  <c:v>4.2426406871192794</c:v>
                </c:pt>
                <c:pt idx="89">
                  <c:v>4.4194173824159169</c:v>
                </c:pt>
                <c:pt idx="90">
                  <c:v>4.5961940777125534</c:v>
                </c:pt>
                <c:pt idx="91">
                  <c:v>4.7729707730091908</c:v>
                </c:pt>
                <c:pt idx="92">
                  <c:v>4.9497474683058273</c:v>
                </c:pt>
                <c:pt idx="93">
                  <c:v>5.1265241636024639</c:v>
                </c:pt>
                <c:pt idx="94">
                  <c:v>5.3033008588991013</c:v>
                </c:pt>
                <c:pt idx="95">
                  <c:v>5.4800775541957378</c:v>
                </c:pt>
                <c:pt idx="96">
                  <c:v>5.6568542494923744</c:v>
                </c:pt>
                <c:pt idx="97">
                  <c:v>5.8336309447890118</c:v>
                </c:pt>
                <c:pt idx="98">
                  <c:v>6.0104076400856483</c:v>
                </c:pt>
                <c:pt idx="99">
                  <c:v>6.1871843353822857</c:v>
                </c:pt>
                <c:pt idx="100">
                  <c:v>6.3639610306789223</c:v>
                </c:pt>
                <c:pt idx="101">
                  <c:v>6.5407377259755588</c:v>
                </c:pt>
                <c:pt idx="102">
                  <c:v>6.7175144212721962</c:v>
                </c:pt>
                <c:pt idx="103">
                  <c:v>6.8942911165688328</c:v>
                </c:pt>
                <c:pt idx="104">
                  <c:v>7.0710678118654702</c:v>
                </c:pt>
              </c:numCache>
            </c:numRef>
          </c:xVal>
          <c:yVal>
            <c:numRef>
              <c:f>'LCVR 451'!$P$2:$P$113</c:f>
              <c:numCache>
                <c:formatCode>General</c:formatCode>
                <c:ptCount val="112"/>
                <c:pt idx="0">
                  <c:v>1.211733270657354</c:v>
                </c:pt>
                <c:pt idx="1">
                  <c:v>1.2117939630207624</c:v>
                </c:pt>
                <c:pt idx="2">
                  <c:v>1.2114675498096028</c:v>
                </c:pt>
                <c:pt idx="3">
                  <c:v>1.2113983884643091</c:v>
                </c:pt>
                <c:pt idx="4">
                  <c:v>1.2111995638654032</c:v>
                </c:pt>
                <c:pt idx="5">
                  <c:v>1.2113273103231184</c:v>
                </c:pt>
                <c:pt idx="6">
                  <c:v>1.2107357315102356</c:v>
                </c:pt>
                <c:pt idx="7">
                  <c:v>1.2106000846130887</c:v>
                </c:pt>
                <c:pt idx="8">
                  <c:v>1.2098107601256649</c:v>
                </c:pt>
                <c:pt idx="9">
                  <c:v>1.2092161564442292</c:v>
                </c:pt>
                <c:pt idx="10">
                  <c:v>1.2080286999429055</c:v>
                </c:pt>
                <c:pt idx="11">
                  <c:v>1.2061198142024034</c:v>
                </c:pt>
                <c:pt idx="12">
                  <c:v>1.2032179700914338</c:v>
                </c:pt>
                <c:pt idx="13">
                  <c:v>1.1982081105208178</c:v>
                </c:pt>
                <c:pt idx="14">
                  <c:v>1.1892155586245079</c:v>
                </c:pt>
                <c:pt idx="15">
                  <c:v>1.1747632260429399</c:v>
                </c:pt>
                <c:pt idx="16">
                  <c:v>1.1548460702144148</c:v>
                </c:pt>
                <c:pt idx="17">
                  <c:v>1.1302736415299228</c:v>
                </c:pt>
                <c:pt idx="18">
                  <c:v>1.1025840896063659</c:v>
                </c:pt>
                <c:pt idx="19">
                  <c:v>1.0726335631497237</c:v>
                </c:pt>
                <c:pt idx="20">
                  <c:v>1.0411541598233351</c:v>
                </c:pt>
                <c:pt idx="21">
                  <c:v>1.0090031755585076</c:v>
                </c:pt>
                <c:pt idx="22">
                  <c:v>0.97897983056325355</c:v>
                </c:pt>
                <c:pt idx="23">
                  <c:v>0.97529640388142735</c:v>
                </c:pt>
                <c:pt idx="24">
                  <c:v>0.94355562383224134</c:v>
                </c:pt>
                <c:pt idx="25">
                  <c:v>0.9099223902832928</c:v>
                </c:pt>
                <c:pt idx="26">
                  <c:v>0.87668703313435425</c:v>
                </c:pt>
                <c:pt idx="27">
                  <c:v>0.84413166658916494</c:v>
                </c:pt>
                <c:pt idx="28">
                  <c:v>0.8129543104828405</c:v>
                </c:pt>
                <c:pt idx="29">
                  <c:v>0.78295807675121643</c:v>
                </c:pt>
                <c:pt idx="30">
                  <c:v>0.75439516810319684</c:v>
                </c:pt>
                <c:pt idx="31">
                  <c:v>0.72686621368781856</c:v>
                </c:pt>
                <c:pt idx="32">
                  <c:v>0.70062105373131689</c:v>
                </c:pt>
                <c:pt idx="33">
                  <c:v>0.67536451014784038</c:v>
                </c:pt>
                <c:pt idx="34">
                  <c:v>0.65114385723195856</c:v>
                </c:pt>
                <c:pt idx="35">
                  <c:v>0.62751644900127024</c:v>
                </c:pt>
                <c:pt idx="36">
                  <c:v>0.60494869891081793</c:v>
                </c:pt>
                <c:pt idx="37">
                  <c:v>0.58284234892254083</c:v>
                </c:pt>
                <c:pt idx="38">
                  <c:v>0.56192607280616058</c:v>
                </c:pt>
                <c:pt idx="39">
                  <c:v>0.54139439365483333</c:v>
                </c:pt>
                <c:pt idx="40">
                  <c:v>0.52137452372773152</c:v>
                </c:pt>
                <c:pt idx="41">
                  <c:v>0.5</c:v>
                </c:pt>
                <c:pt idx="42">
                  <c:v>0.48766417717570398</c:v>
                </c:pt>
                <c:pt idx="43">
                  <c:v>0.47016253356822224</c:v>
                </c:pt>
                <c:pt idx="44">
                  <c:v>0.45297669606673341</c:v>
                </c:pt>
                <c:pt idx="45">
                  <c:v>0.438191043574922</c:v>
                </c:pt>
                <c:pt idx="46">
                  <c:v>0.42335612966741082</c:v>
                </c:pt>
                <c:pt idx="47">
                  <c:v>0.40930948053684574</c:v>
                </c:pt>
                <c:pt idx="48">
                  <c:v>0.39657213257415658</c:v>
                </c:pt>
                <c:pt idx="49">
                  <c:v>0.3842628447017466</c:v>
                </c:pt>
                <c:pt idx="50">
                  <c:v>0.37249743569639565</c:v>
                </c:pt>
                <c:pt idx="51">
                  <c:v>0.36124102606301961</c:v>
                </c:pt>
                <c:pt idx="52">
                  <c:v>0.35083406453075416</c:v>
                </c:pt>
                <c:pt idx="53">
                  <c:v>0.34078416238330062</c:v>
                </c:pt>
                <c:pt idx="54">
                  <c:v>0.33145600015469151</c:v>
                </c:pt>
                <c:pt idx="55">
                  <c:v>0.32255140518086839</c:v>
                </c:pt>
                <c:pt idx="56">
                  <c:v>0.31413220205172898</c:v>
                </c:pt>
                <c:pt idx="57">
                  <c:v>0.30618254417723856</c:v>
                </c:pt>
                <c:pt idx="58">
                  <c:v>0.29858601386690331</c:v>
                </c:pt>
                <c:pt idx="59">
                  <c:v>0.29165313212664229</c:v>
                </c:pt>
                <c:pt idx="60">
                  <c:v>0.28474291143549413</c:v>
                </c:pt>
                <c:pt idx="61">
                  <c:v>0.27836687614741734</c:v>
                </c:pt>
                <c:pt idx="62">
                  <c:v>0.27229493504823005</c:v>
                </c:pt>
                <c:pt idx="63">
                  <c:v>0.26645639123729992</c:v>
                </c:pt>
                <c:pt idx="64">
                  <c:v>0.26090587960780415</c:v>
                </c:pt>
                <c:pt idx="65">
                  <c:v>0.25563849069548594</c:v>
                </c:pt>
                <c:pt idx="66">
                  <c:v>0.2506406891933467</c:v>
                </c:pt>
                <c:pt idx="67">
                  <c:v>0.2457208481224642</c:v>
                </c:pt>
                <c:pt idx="68">
                  <c:v>0.24111094163758642</c:v>
                </c:pt>
                <c:pt idx="69">
                  <c:v>0.23669538808751081</c:v>
                </c:pt>
                <c:pt idx="70">
                  <c:v>0.22839349430568778</c:v>
                </c:pt>
                <c:pt idx="71">
                  <c:v>0.22070113970437111</c:v>
                </c:pt>
                <c:pt idx="72">
                  <c:v>0.21362307999516239</c:v>
                </c:pt>
                <c:pt idx="73">
                  <c:v>0.20698239817046785</c:v>
                </c:pt>
                <c:pt idx="74">
                  <c:v>0.20072101853820423</c:v>
                </c:pt>
                <c:pt idx="75">
                  <c:v>0.19494701110943471</c:v>
                </c:pt>
                <c:pt idx="76">
                  <c:v>0.1894555956404933</c:v>
                </c:pt>
                <c:pt idx="77">
                  <c:v>0.18439695607772244</c:v>
                </c:pt>
                <c:pt idx="78">
                  <c:v>0.1795220425341863</c:v>
                </c:pt>
                <c:pt idx="79">
                  <c:v>0.17491735155122573</c:v>
                </c:pt>
                <c:pt idx="80">
                  <c:v>0.1706232832449438</c:v>
                </c:pt>
                <c:pt idx="81">
                  <c:v>0.16645963677558209</c:v>
                </c:pt>
                <c:pt idx="82">
                  <c:v>0.16266142238318854</c:v>
                </c:pt>
                <c:pt idx="83">
                  <c:v>0.15888620402647677</c:v>
                </c:pt>
                <c:pt idx="84">
                  <c:v>0.15532745581654325</c:v>
                </c:pt>
                <c:pt idx="85">
                  <c:v>0.14733426170681166</c:v>
                </c:pt>
                <c:pt idx="86">
                  <c:v>0.1401174715950543</c:v>
                </c:pt>
                <c:pt idx="87">
                  <c:v>0.1336640418317363</c:v>
                </c:pt>
                <c:pt idx="88">
                  <c:v>0.12771238115362921</c:v>
                </c:pt>
                <c:pt idx="89">
                  <c:v>0.12224118885103223</c:v>
                </c:pt>
                <c:pt idx="90">
                  <c:v>0.11714052331243388</c:v>
                </c:pt>
                <c:pt idx="91">
                  <c:v>0.11262347301555593</c:v>
                </c:pt>
                <c:pt idx="92">
                  <c:v>0.10832710067129585</c:v>
                </c:pt>
                <c:pt idx="93">
                  <c:v>0.10449822614128904</c:v>
                </c:pt>
                <c:pt idx="94">
                  <c:v>0.10083647999647129</c:v>
                </c:pt>
                <c:pt idx="95">
                  <c:v>9.7521235145171775E-2</c:v>
                </c:pt>
                <c:pt idx="96">
                  <c:v>9.434379774723109E-2</c:v>
                </c:pt>
                <c:pt idx="97">
                  <c:v>9.1419441930719145E-2</c:v>
                </c:pt>
                <c:pt idx="98">
                  <c:v>8.8682671343849481E-2</c:v>
                </c:pt>
                <c:pt idx="99">
                  <c:v>8.5997910769305311E-2</c:v>
                </c:pt>
                <c:pt idx="100">
                  <c:v>8.3502082010401407E-2</c:v>
                </c:pt>
                <c:pt idx="101">
                  <c:v>8.1330072818755636E-2</c:v>
                </c:pt>
                <c:pt idx="102">
                  <c:v>7.8981870439930726E-2</c:v>
                </c:pt>
                <c:pt idx="103">
                  <c:v>7.6871113729051671E-2</c:v>
                </c:pt>
                <c:pt idx="104">
                  <c:v>7.5145090551430108E-2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A5-418F-9934-0A72E97F4F42}"/>
            </c:ext>
          </c:extLst>
        </c:ser>
        <c:ser>
          <c:idx val="0"/>
          <c:order val="1"/>
          <c:tx>
            <c:strRef>
              <c:f>Sheet1!$P$1</c:f>
              <c:strCache>
                <c:ptCount val="1"/>
                <c:pt idx="0">
                  <c:v>Retardance, d (waves)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Sheet1!$P$2:$P$113</c:f>
              <c:numCache>
                <c:formatCode>General</c:formatCode>
                <c:ptCount val="112"/>
                <c:pt idx="0">
                  <c:v>1.4464880536675118</c:v>
                </c:pt>
                <c:pt idx="1">
                  <c:v>1.4464880536675118</c:v>
                </c:pt>
                <c:pt idx="2">
                  <c:v>1.4464880536675118</c:v>
                </c:pt>
                <c:pt idx="3">
                  <c:v>1.4464880536675118</c:v>
                </c:pt>
                <c:pt idx="4">
                  <c:v>1.4464880536675118</c:v>
                </c:pt>
                <c:pt idx="5">
                  <c:v>1.4464880536675118</c:v>
                </c:pt>
                <c:pt idx="6">
                  <c:v>1.4464880536675118</c:v>
                </c:pt>
                <c:pt idx="7">
                  <c:v>1.4458739770500169</c:v>
                </c:pt>
                <c:pt idx="8">
                  <c:v>1.4455587354353649</c:v>
                </c:pt>
                <c:pt idx="9">
                  <c:v>1.4445763451948221</c:v>
                </c:pt>
                <c:pt idx="10">
                  <c:v>1.4435305511531942</c:v>
                </c:pt>
                <c:pt idx="11">
                  <c:v>1.4416054113058954</c:v>
                </c:pt>
                <c:pt idx="12">
                  <c:v>1.4383019670950656</c:v>
                </c:pt>
                <c:pt idx="13">
                  <c:v>1.4330654548445667</c:v>
                </c:pt>
                <c:pt idx="14">
                  <c:v>1.4283966117162035</c:v>
                </c:pt>
                <c:pt idx="15">
                  <c:v>1.4187588105463451</c:v>
                </c:pt>
                <c:pt idx="16">
                  <c:v>1.3954625896436597</c:v>
                </c:pt>
                <c:pt idx="17">
                  <c:v>1.3661753369029699</c:v>
                </c:pt>
                <c:pt idx="18">
                  <c:v>1.3324254585025015</c:v>
                </c:pt>
                <c:pt idx="19">
                  <c:v>1.2955003103450626</c:v>
                </c:pt>
                <c:pt idx="20">
                  <c:v>1.2566864425356934</c:v>
                </c:pt>
                <c:pt idx="21">
                  <c:v>1.2163223692774925</c:v>
                </c:pt>
                <c:pt idx="22">
                  <c:v>1.1752760975843262</c:v>
                </c:pt>
                <c:pt idx="23">
                  <c:v>1.1340468600345444</c:v>
                </c:pt>
                <c:pt idx="24">
                  <c:v>1.0930794770456325</c:v>
                </c:pt>
                <c:pt idx="25">
                  <c:v>1.0527027807500151</c:v>
                </c:pt>
                <c:pt idx="26">
                  <c:v>1.0144906279892185</c:v>
                </c:pt>
                <c:pt idx="27">
                  <c:v>0.97682718089903198</c:v>
                </c:pt>
                <c:pt idx="28">
                  <c:v>0.95570845811230543</c:v>
                </c:pt>
                <c:pt idx="29">
                  <c:v>0.95284254557786086</c:v>
                </c:pt>
                <c:pt idx="30">
                  <c:v>0.91982146653195451</c:v>
                </c:pt>
                <c:pt idx="31">
                  <c:v>0.88466975454889074</c:v>
                </c:pt>
                <c:pt idx="32">
                  <c:v>0.85139259058985051</c:v>
                </c:pt>
                <c:pt idx="33">
                  <c:v>0.81998343527133577</c:v>
                </c:pt>
                <c:pt idx="34">
                  <c:v>0.79044058393738559</c:v>
                </c:pt>
                <c:pt idx="35">
                  <c:v>0.76251609541096466</c:v>
                </c:pt>
                <c:pt idx="36">
                  <c:v>0.7360078192103553</c:v>
                </c:pt>
                <c:pt idx="37">
                  <c:v>0.71068936993367215</c:v>
                </c:pt>
                <c:pt idx="38">
                  <c:v>0.68634800733850287</c:v>
                </c:pt>
                <c:pt idx="39">
                  <c:v>0.66279770821563899</c:v>
                </c:pt>
                <c:pt idx="40">
                  <c:v>0.64035995023166914</c:v>
                </c:pt>
                <c:pt idx="41">
                  <c:v>0.61859548068248171</c:v>
                </c:pt>
                <c:pt idx="42">
                  <c:v>0.59731789762328757</c:v>
                </c:pt>
                <c:pt idx="43">
                  <c:v>0.57692927170038877</c:v>
                </c:pt>
                <c:pt idx="44">
                  <c:v>0.55698031763474842</c:v>
                </c:pt>
                <c:pt idx="45">
                  <c:v>0.53814677383323561</c:v>
                </c:pt>
                <c:pt idx="46">
                  <c:v>0.52008542563809335</c:v>
                </c:pt>
                <c:pt idx="47">
                  <c:v>0.5</c:v>
                </c:pt>
                <c:pt idx="48">
                  <c:v>0.48561146265206612</c:v>
                </c:pt>
                <c:pt idx="49">
                  <c:v>0.47044294137135484</c:v>
                </c:pt>
                <c:pt idx="50">
                  <c:v>0.45668277602410151</c:v>
                </c:pt>
                <c:pt idx="51">
                  <c:v>0.44195534678401394</c:v>
                </c:pt>
                <c:pt idx="52">
                  <c:v>0.42862997904088546</c:v>
                </c:pt>
                <c:pt idx="53">
                  <c:v>0.41621055447133976</c:v>
                </c:pt>
                <c:pt idx="54">
                  <c:v>0.40418194224452986</c:v>
                </c:pt>
                <c:pt idx="55">
                  <c:v>0.39313336691017059</c:v>
                </c:pt>
                <c:pt idx="56">
                  <c:v>0.3826203279547164</c:v>
                </c:pt>
                <c:pt idx="57">
                  <c:v>0.37263179972703037</c:v>
                </c:pt>
                <c:pt idx="58">
                  <c:v>0.3632186157609209</c:v>
                </c:pt>
                <c:pt idx="59">
                  <c:v>0.35453729190458216</c:v>
                </c:pt>
                <c:pt idx="60">
                  <c:v>0.34593601147320563</c:v>
                </c:pt>
                <c:pt idx="61">
                  <c:v>0.33800557173391993</c:v>
                </c:pt>
                <c:pt idx="62">
                  <c:v>0.33078181007277063</c:v>
                </c:pt>
                <c:pt idx="63">
                  <c:v>0.32381266433823114</c:v>
                </c:pt>
                <c:pt idx="64">
                  <c:v>0.31703054399524938</c:v>
                </c:pt>
                <c:pt idx="65">
                  <c:v>0.31092883388216808</c:v>
                </c:pt>
                <c:pt idx="66">
                  <c:v>0.30484720073812177</c:v>
                </c:pt>
                <c:pt idx="67">
                  <c:v>0.29927908583447232</c:v>
                </c:pt>
                <c:pt idx="68">
                  <c:v>0.29373706357603679</c:v>
                </c:pt>
                <c:pt idx="69">
                  <c:v>0.28849575216625312</c:v>
                </c:pt>
                <c:pt idx="70">
                  <c:v>0.28347172484422484</c:v>
                </c:pt>
                <c:pt idx="71">
                  <c:v>0.27858572515429503</c:v>
                </c:pt>
                <c:pt idx="72">
                  <c:v>0.27400382848260296</c:v>
                </c:pt>
                <c:pt idx="73">
                  <c:v>0.26944189813939029</c:v>
                </c:pt>
                <c:pt idx="74">
                  <c:v>0.2653430738465718</c:v>
                </c:pt>
                <c:pt idx="75">
                  <c:v>0.2613574071721565</c:v>
                </c:pt>
                <c:pt idx="76">
                  <c:v>0.25720749700286316</c:v>
                </c:pt>
                <c:pt idx="77">
                  <c:v>0.25340493174919737</c:v>
                </c:pt>
                <c:pt idx="78">
                  <c:v>0.24963854751580372</c:v>
                </c:pt>
                <c:pt idx="79">
                  <c:v>0.2460378831315912</c:v>
                </c:pt>
                <c:pt idx="80">
                  <c:v>0.24257467669989749</c:v>
                </c:pt>
                <c:pt idx="81">
                  <c:v>0.2390392526401319</c:v>
                </c:pt>
                <c:pt idx="82">
                  <c:v>0.23567044000559478</c:v>
                </c:pt>
                <c:pt idx="83">
                  <c:v>0.23246756425238299</c:v>
                </c:pt>
                <c:pt idx="84">
                  <c:v>0.22936121664382475</c:v>
                </c:pt>
                <c:pt idx="85">
                  <c:v>0.2263508911796642</c:v>
                </c:pt>
                <c:pt idx="86">
                  <c:v>0.22340152078119116</c:v>
                </c:pt>
                <c:pt idx="87">
                  <c:v>0.22040803299016576</c:v>
                </c:pt>
                <c:pt idx="88">
                  <c:v>0.21768384809503077</c:v>
                </c:pt>
                <c:pt idx="89">
                  <c:v>0.21712387964224533</c:v>
                </c:pt>
                <c:pt idx="90">
                  <c:v>0.20214457276535475</c:v>
                </c:pt>
                <c:pt idx="91">
                  <c:v>0.19077990820737908</c:v>
                </c:pt>
                <c:pt idx="92">
                  <c:v>0.18083086254062197</c:v>
                </c:pt>
                <c:pt idx="93">
                  <c:v>0.17182999027167467</c:v>
                </c:pt>
                <c:pt idx="94">
                  <c:v>0.16363046873065934</c:v>
                </c:pt>
                <c:pt idx="95">
                  <c:v>0.1563239683069175</c:v>
                </c:pt>
                <c:pt idx="96">
                  <c:v>0.14959391583018869</c:v>
                </c:pt>
                <c:pt idx="97">
                  <c:v>0.14334983960309292</c:v>
                </c:pt>
                <c:pt idx="98">
                  <c:v>0.13767212418125926</c:v>
                </c:pt>
                <c:pt idx="99">
                  <c:v>0.13232706973484429</c:v>
                </c:pt>
                <c:pt idx="100">
                  <c:v>0.12743471995733699</c:v>
                </c:pt>
                <c:pt idx="101">
                  <c:v>0.12293296544523905</c:v>
                </c:pt>
                <c:pt idx="102">
                  <c:v>0.11870105049160493</c:v>
                </c:pt>
                <c:pt idx="103">
                  <c:v>0.11481138064729218</c:v>
                </c:pt>
                <c:pt idx="104">
                  <c:v>0.11107734339543604</c:v>
                </c:pt>
                <c:pt idx="105">
                  <c:v>0.10761963335579625</c:v>
                </c:pt>
                <c:pt idx="106">
                  <c:v>0.1044031861741543</c:v>
                </c:pt>
                <c:pt idx="107">
                  <c:v>0.10127308299183015</c:v>
                </c:pt>
                <c:pt idx="108">
                  <c:v>9.8471662031055993E-2</c:v>
                </c:pt>
                <c:pt idx="109">
                  <c:v>9.5720383064778758E-2</c:v>
                </c:pt>
                <c:pt idx="110">
                  <c:v>9.3084339810579481E-2</c:v>
                </c:pt>
                <c:pt idx="111">
                  <c:v>9.0698693682562434E-2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A5-418F-9934-0A72E97F4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285128"/>
        <c:axId val="513284344"/>
      </c:scatterChart>
      <c:valAx>
        <c:axId val="51328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4344"/>
        <c:crosses val="autoZero"/>
        <c:crossBetween val="midCat"/>
      </c:valAx>
      <c:valAx>
        <c:axId val="513284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512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451'!$B$1</c:f>
              <c:strCache>
                <c:ptCount val="1"/>
                <c:pt idx="0">
                  <c:v>I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451'!$A$2:$A$113</c:f>
              <c:numCache>
                <c:formatCode>General</c:formatCode>
                <c:ptCount val="112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7.1999999999999913</c:v>
                </c:pt>
                <c:pt idx="71">
                  <c:v>7.3999999999999915</c:v>
                </c:pt>
                <c:pt idx="72">
                  <c:v>7.5999999999999917</c:v>
                </c:pt>
                <c:pt idx="73">
                  <c:v>7.7999999999999918</c:v>
                </c:pt>
                <c:pt idx="74">
                  <c:v>7.999999999999992</c:v>
                </c:pt>
                <c:pt idx="75">
                  <c:v>8.1999999999999922</c:v>
                </c:pt>
                <c:pt idx="76">
                  <c:v>8.3999999999999915</c:v>
                </c:pt>
                <c:pt idx="77">
                  <c:v>8.5999999999999908</c:v>
                </c:pt>
                <c:pt idx="78">
                  <c:v>8.7999999999999901</c:v>
                </c:pt>
                <c:pt idx="79">
                  <c:v>8.9999999999999893</c:v>
                </c:pt>
                <c:pt idx="80">
                  <c:v>9.1999999999999886</c:v>
                </c:pt>
                <c:pt idx="81">
                  <c:v>9.3999999999999879</c:v>
                </c:pt>
                <c:pt idx="82">
                  <c:v>9.5999999999999872</c:v>
                </c:pt>
                <c:pt idx="83">
                  <c:v>9.7999999999999865</c:v>
                </c:pt>
                <c:pt idx="84">
                  <c:v>9.9999999999999858</c:v>
                </c:pt>
                <c:pt idx="85">
                  <c:v>10.499999999999986</c:v>
                </c:pt>
                <c:pt idx="86">
                  <c:v>10.999999999999986</c:v>
                </c:pt>
                <c:pt idx="87">
                  <c:v>11.499999999999986</c:v>
                </c:pt>
                <c:pt idx="88">
                  <c:v>11.999999999999986</c:v>
                </c:pt>
                <c:pt idx="89">
                  <c:v>12.499999999999986</c:v>
                </c:pt>
                <c:pt idx="90">
                  <c:v>12.999999999999986</c:v>
                </c:pt>
                <c:pt idx="91">
                  <c:v>13.499999999999986</c:v>
                </c:pt>
                <c:pt idx="92">
                  <c:v>13.999999999999986</c:v>
                </c:pt>
                <c:pt idx="93">
                  <c:v>14.499999999999986</c:v>
                </c:pt>
                <c:pt idx="94">
                  <c:v>14.999999999999986</c:v>
                </c:pt>
                <c:pt idx="95">
                  <c:v>15.499999999999986</c:v>
                </c:pt>
                <c:pt idx="96">
                  <c:v>15.999999999999986</c:v>
                </c:pt>
                <c:pt idx="97">
                  <c:v>16.499999999999986</c:v>
                </c:pt>
                <c:pt idx="98">
                  <c:v>16.999999999999986</c:v>
                </c:pt>
                <c:pt idx="99">
                  <c:v>17.499999999999986</c:v>
                </c:pt>
                <c:pt idx="100">
                  <c:v>17.999999999999986</c:v>
                </c:pt>
                <c:pt idx="101">
                  <c:v>18.499999999999986</c:v>
                </c:pt>
                <c:pt idx="102">
                  <c:v>18.999999999999986</c:v>
                </c:pt>
                <c:pt idx="103">
                  <c:v>19.499999999999986</c:v>
                </c:pt>
                <c:pt idx="104">
                  <c:v>19.999999999999986</c:v>
                </c:pt>
              </c:numCache>
            </c:numRef>
          </c:xVal>
          <c:yVal>
            <c:numRef>
              <c:f>'LCVR 451'!$B$2:$B$113</c:f>
              <c:numCache>
                <c:formatCode>General</c:formatCode>
                <c:ptCount val="112"/>
                <c:pt idx="0">
                  <c:v>0.24859999999999999</c:v>
                </c:pt>
                <c:pt idx="1">
                  <c:v>0.24840000000000001</c:v>
                </c:pt>
                <c:pt idx="2">
                  <c:v>0.248</c:v>
                </c:pt>
                <c:pt idx="3">
                  <c:v>0.2477</c:v>
                </c:pt>
                <c:pt idx="4">
                  <c:v>0.24729999999999999</c:v>
                </c:pt>
                <c:pt idx="5">
                  <c:v>0.24729999999999999</c:v>
                </c:pt>
                <c:pt idx="6">
                  <c:v>0.24640000000000001</c:v>
                </c:pt>
                <c:pt idx="7">
                  <c:v>0.246</c:v>
                </c:pt>
                <c:pt idx="8">
                  <c:v>0.24479999999999999</c:v>
                </c:pt>
                <c:pt idx="9">
                  <c:v>0.24379999999999999</c:v>
                </c:pt>
                <c:pt idx="10">
                  <c:v>0.2419</c:v>
                </c:pt>
                <c:pt idx="11">
                  <c:v>0.23899999999999999</c:v>
                </c:pt>
                <c:pt idx="12">
                  <c:v>0.23449999999999999</c:v>
                </c:pt>
                <c:pt idx="13">
                  <c:v>0.22689999999999999</c:v>
                </c:pt>
                <c:pt idx="14">
                  <c:v>0.21329999999999999</c:v>
                </c:pt>
                <c:pt idx="15">
                  <c:v>0.1915</c:v>
                </c:pt>
                <c:pt idx="16">
                  <c:v>0.16239999999999999</c:v>
                </c:pt>
                <c:pt idx="17">
                  <c:v>0.12820000000000001</c:v>
                </c:pt>
                <c:pt idx="18">
                  <c:v>9.2999999999999999E-2</c:v>
                </c:pt>
                <c:pt idx="19">
                  <c:v>0.06</c:v>
                </c:pt>
                <c:pt idx="20">
                  <c:v>3.2199999999999999E-2</c:v>
                </c:pt>
                <c:pt idx="21">
                  <c:v>1.23E-2</c:v>
                </c:pt>
                <c:pt idx="22">
                  <c:v>2.0999999999999999E-3</c:v>
                </c:pt>
                <c:pt idx="23">
                  <c:v>2.8999999999999998E-3</c:v>
                </c:pt>
                <c:pt idx="24">
                  <c:v>1.4999999999999999E-2</c:v>
                </c:pt>
                <c:pt idx="25">
                  <c:v>3.7600000000000001E-2</c:v>
                </c:pt>
                <c:pt idx="26">
                  <c:v>6.88E-2</c:v>
                </c:pt>
                <c:pt idx="27">
                  <c:v>0.1066</c:v>
                </c:pt>
                <c:pt idx="28">
                  <c:v>0.14810000000000001</c:v>
                </c:pt>
                <c:pt idx="29">
                  <c:v>0.19139999999999999</c:v>
                </c:pt>
                <c:pt idx="30">
                  <c:v>0.2341</c:v>
                </c:pt>
                <c:pt idx="31">
                  <c:v>0.27539999999999998</c:v>
                </c:pt>
                <c:pt idx="32">
                  <c:v>0.314</c:v>
                </c:pt>
                <c:pt idx="33">
                  <c:v>0.34899999999999998</c:v>
                </c:pt>
                <c:pt idx="34">
                  <c:v>0.38040000000000002</c:v>
                </c:pt>
                <c:pt idx="35">
                  <c:v>0.4073</c:v>
                </c:pt>
                <c:pt idx="36">
                  <c:v>0.43</c:v>
                </c:pt>
                <c:pt idx="37">
                  <c:v>0.44890000000000002</c:v>
                </c:pt>
                <c:pt idx="38">
                  <c:v>0.46239999999999998</c:v>
                </c:pt>
                <c:pt idx="39">
                  <c:v>0.47189999999999999</c:v>
                </c:pt>
                <c:pt idx="40">
                  <c:v>0.47799999999999998</c:v>
                </c:pt>
                <c:pt idx="41">
                  <c:v>0.47939999999999999</c:v>
                </c:pt>
                <c:pt idx="42">
                  <c:v>0.4783</c:v>
                </c:pt>
                <c:pt idx="43">
                  <c:v>0.47520000000000001</c:v>
                </c:pt>
                <c:pt idx="44">
                  <c:v>0.46920000000000001</c:v>
                </c:pt>
                <c:pt idx="45">
                  <c:v>0.46100000000000002</c:v>
                </c:pt>
                <c:pt idx="46">
                  <c:v>0.4516</c:v>
                </c:pt>
                <c:pt idx="47">
                  <c:v>0.441</c:v>
                </c:pt>
                <c:pt idx="48">
                  <c:v>0.43020000000000003</c:v>
                </c:pt>
                <c:pt idx="49">
                  <c:v>0.41810000000000003</c:v>
                </c:pt>
                <c:pt idx="50">
                  <c:v>0.40570000000000001</c:v>
                </c:pt>
                <c:pt idx="51">
                  <c:v>0.39329999999999998</c:v>
                </c:pt>
                <c:pt idx="52">
                  <c:v>0.38100000000000001</c:v>
                </c:pt>
                <c:pt idx="53">
                  <c:v>0.36840000000000001</c:v>
                </c:pt>
                <c:pt idx="54">
                  <c:v>0.35610000000000003</c:v>
                </c:pt>
                <c:pt idx="55">
                  <c:v>0.34439999999999998</c:v>
                </c:pt>
                <c:pt idx="56">
                  <c:v>0.33289999999999997</c:v>
                </c:pt>
                <c:pt idx="57">
                  <c:v>0.32179999999999997</c:v>
                </c:pt>
                <c:pt idx="58">
                  <c:v>0.311</c:v>
                </c:pt>
                <c:pt idx="59">
                  <c:v>0.30099999999999999</c:v>
                </c:pt>
                <c:pt idx="60">
                  <c:v>0.2908</c:v>
                </c:pt>
                <c:pt idx="61">
                  <c:v>0.28129999999999999</c:v>
                </c:pt>
                <c:pt idx="62">
                  <c:v>0.27229999999999999</c:v>
                </c:pt>
                <c:pt idx="63">
                  <c:v>0.2636</c:v>
                </c:pt>
                <c:pt idx="64">
                  <c:v>0.25540000000000002</c:v>
                </c:pt>
                <c:pt idx="65">
                  <c:v>0.2475</c:v>
                </c:pt>
                <c:pt idx="66">
                  <c:v>0.2399</c:v>
                </c:pt>
                <c:pt idx="67">
                  <c:v>0.23269999999999999</c:v>
                </c:pt>
                <c:pt idx="68">
                  <c:v>0.22559999999999999</c:v>
                </c:pt>
                <c:pt idx="69">
                  <c:v>0.21890000000000001</c:v>
                </c:pt>
                <c:pt idx="70">
                  <c:v>0.20660000000000001</c:v>
                </c:pt>
                <c:pt idx="71">
                  <c:v>0.19520000000000001</c:v>
                </c:pt>
                <c:pt idx="72">
                  <c:v>0.18479999999999999</c:v>
                </c:pt>
                <c:pt idx="73">
                  <c:v>0.17499999999999999</c:v>
                </c:pt>
                <c:pt idx="74">
                  <c:v>0.16600000000000001</c:v>
                </c:pt>
                <c:pt idx="75">
                  <c:v>0.1578</c:v>
                </c:pt>
                <c:pt idx="76">
                  <c:v>0.15010000000000001</c:v>
                </c:pt>
                <c:pt idx="77">
                  <c:v>0.1431</c:v>
                </c:pt>
                <c:pt idx="78">
                  <c:v>0.13650000000000001</c:v>
                </c:pt>
                <c:pt idx="79">
                  <c:v>0.1303</c:v>
                </c:pt>
                <c:pt idx="80">
                  <c:v>0.1246</c:v>
                </c:pt>
                <c:pt idx="81">
                  <c:v>0.1192</c:v>
                </c:pt>
                <c:pt idx="82">
                  <c:v>0.1143</c:v>
                </c:pt>
                <c:pt idx="83">
                  <c:v>0.1095</c:v>
                </c:pt>
                <c:pt idx="84">
                  <c:v>0.105</c:v>
                </c:pt>
                <c:pt idx="85">
                  <c:v>9.5200000000000007E-2</c:v>
                </c:pt>
                <c:pt idx="86">
                  <c:v>8.6699999999999999E-2</c:v>
                </c:pt>
                <c:pt idx="87">
                  <c:v>7.9299999999999995E-2</c:v>
                </c:pt>
                <c:pt idx="88">
                  <c:v>7.2800000000000004E-2</c:v>
                </c:pt>
                <c:pt idx="89">
                  <c:v>6.7000000000000004E-2</c:v>
                </c:pt>
                <c:pt idx="90">
                  <c:v>6.1800000000000001E-2</c:v>
                </c:pt>
                <c:pt idx="91">
                  <c:v>5.7299999999999997E-2</c:v>
                </c:pt>
                <c:pt idx="92">
                  <c:v>5.3199999999999997E-2</c:v>
                </c:pt>
                <c:pt idx="93">
                  <c:v>4.9599999999999998E-2</c:v>
                </c:pt>
                <c:pt idx="94">
                  <c:v>4.6300000000000001E-2</c:v>
                </c:pt>
                <c:pt idx="95">
                  <c:v>4.3400000000000001E-2</c:v>
                </c:pt>
                <c:pt idx="96">
                  <c:v>4.07E-2</c:v>
                </c:pt>
                <c:pt idx="97">
                  <c:v>3.8300000000000001E-2</c:v>
                </c:pt>
                <c:pt idx="98">
                  <c:v>3.61E-2</c:v>
                </c:pt>
                <c:pt idx="99">
                  <c:v>3.4000000000000002E-2</c:v>
                </c:pt>
                <c:pt idx="100">
                  <c:v>3.2099999999999997E-2</c:v>
                </c:pt>
                <c:pt idx="101">
                  <c:v>3.0499999999999999E-2</c:v>
                </c:pt>
                <c:pt idx="102">
                  <c:v>2.8799999999999999E-2</c:v>
                </c:pt>
                <c:pt idx="103">
                  <c:v>2.7300000000000001E-2</c:v>
                </c:pt>
                <c:pt idx="104">
                  <c:v>2.6100000000000002E-2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00-42BB-8CD2-8D865B1C9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287872"/>
        <c:axId val="513287480"/>
      </c:scatterChart>
      <c:valAx>
        <c:axId val="51328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7480"/>
        <c:crosses val="autoZero"/>
        <c:crossBetween val="midCat"/>
      </c:valAx>
      <c:valAx>
        <c:axId val="51328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521'!$B$1</c:f>
              <c:strCache>
                <c:ptCount val="1"/>
                <c:pt idx="0">
                  <c:v>I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521'!$A$2:$A$113</c:f>
              <c:numCache>
                <c:formatCode>General</c:formatCode>
                <c:ptCount val="112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8.1999999999999869</c:v>
                </c:pt>
                <c:pt idx="81">
                  <c:v>8.3999999999999861</c:v>
                </c:pt>
                <c:pt idx="82">
                  <c:v>8.5999999999999854</c:v>
                </c:pt>
                <c:pt idx="83">
                  <c:v>8.7999999999999847</c:v>
                </c:pt>
                <c:pt idx="84">
                  <c:v>8.999999999999984</c:v>
                </c:pt>
                <c:pt idx="85">
                  <c:v>9.1999999999999833</c:v>
                </c:pt>
                <c:pt idx="86">
                  <c:v>9.3999999999999826</c:v>
                </c:pt>
                <c:pt idx="87">
                  <c:v>9.5999999999999819</c:v>
                </c:pt>
                <c:pt idx="88">
                  <c:v>9.7999999999999812</c:v>
                </c:pt>
                <c:pt idx="89">
                  <c:v>9.9999999999999805</c:v>
                </c:pt>
                <c:pt idx="90">
                  <c:v>10.49999999999998</c:v>
                </c:pt>
                <c:pt idx="91">
                  <c:v>10.99999999999998</c:v>
                </c:pt>
                <c:pt idx="92">
                  <c:v>11.49999999999998</c:v>
                </c:pt>
                <c:pt idx="93">
                  <c:v>11.99999999999998</c:v>
                </c:pt>
                <c:pt idx="94">
                  <c:v>12.49999999999998</c:v>
                </c:pt>
                <c:pt idx="95">
                  <c:v>12.99999999999998</c:v>
                </c:pt>
                <c:pt idx="96">
                  <c:v>13.49999999999998</c:v>
                </c:pt>
                <c:pt idx="97">
                  <c:v>13.99999999999998</c:v>
                </c:pt>
                <c:pt idx="98">
                  <c:v>14.49999999999998</c:v>
                </c:pt>
                <c:pt idx="99">
                  <c:v>14.99999999999998</c:v>
                </c:pt>
                <c:pt idx="100">
                  <c:v>15.49999999999998</c:v>
                </c:pt>
                <c:pt idx="101">
                  <c:v>15.99999999999998</c:v>
                </c:pt>
                <c:pt idx="102">
                  <c:v>16.499999999999979</c:v>
                </c:pt>
                <c:pt idx="103">
                  <c:v>16.999999999999979</c:v>
                </c:pt>
                <c:pt idx="104">
                  <c:v>17.499999999999979</c:v>
                </c:pt>
                <c:pt idx="105">
                  <c:v>17.999999999999979</c:v>
                </c:pt>
                <c:pt idx="106">
                  <c:v>18.499999999999979</c:v>
                </c:pt>
                <c:pt idx="107">
                  <c:v>18.999999999999979</c:v>
                </c:pt>
                <c:pt idx="108">
                  <c:v>19.499999999999979</c:v>
                </c:pt>
                <c:pt idx="109">
                  <c:v>19.999999999999979</c:v>
                </c:pt>
              </c:numCache>
            </c:numRef>
          </c:xVal>
          <c:yVal>
            <c:numRef>
              <c:f>'LCVR 521'!$B$2:$B$113</c:f>
              <c:numCache>
                <c:formatCode>General</c:formatCode>
                <c:ptCount val="112"/>
                <c:pt idx="0">
                  <c:v>0.14399999999999999</c:v>
                </c:pt>
                <c:pt idx="1">
                  <c:v>0.14399999999999999</c:v>
                </c:pt>
                <c:pt idx="2">
                  <c:v>0.14399999999999999</c:v>
                </c:pt>
                <c:pt idx="3">
                  <c:v>0.14399999999999999</c:v>
                </c:pt>
                <c:pt idx="4">
                  <c:v>0.14419999999999999</c:v>
                </c:pt>
                <c:pt idx="5">
                  <c:v>0.1444</c:v>
                </c:pt>
                <c:pt idx="6">
                  <c:v>0.14460000000000001</c:v>
                </c:pt>
                <c:pt idx="7">
                  <c:v>0.14499999999999999</c:v>
                </c:pt>
                <c:pt idx="8">
                  <c:v>0.14530000000000001</c:v>
                </c:pt>
                <c:pt idx="9">
                  <c:v>0.14580000000000001</c:v>
                </c:pt>
                <c:pt idx="10">
                  <c:v>0.1467</c:v>
                </c:pt>
                <c:pt idx="11">
                  <c:v>0.14799999999999999</c:v>
                </c:pt>
                <c:pt idx="12">
                  <c:v>0.15010000000000001</c:v>
                </c:pt>
                <c:pt idx="13">
                  <c:v>0.154</c:v>
                </c:pt>
                <c:pt idx="14">
                  <c:v>0.16020000000000001</c:v>
                </c:pt>
                <c:pt idx="15">
                  <c:v>0.16969999999999999</c:v>
                </c:pt>
                <c:pt idx="16">
                  <c:v>0.18310000000000001</c:v>
                </c:pt>
                <c:pt idx="17">
                  <c:v>0.19919999999999999</c:v>
                </c:pt>
                <c:pt idx="18">
                  <c:v>0.21690000000000001</c:v>
                </c:pt>
                <c:pt idx="19">
                  <c:v>0.23580000000000001</c:v>
                </c:pt>
                <c:pt idx="20">
                  <c:v>0.25390000000000001</c:v>
                </c:pt>
                <c:pt idx="21">
                  <c:v>0.27089999999999997</c:v>
                </c:pt>
                <c:pt idx="22">
                  <c:v>0.28739999999999999</c:v>
                </c:pt>
                <c:pt idx="23">
                  <c:v>0.29970000000000002</c:v>
                </c:pt>
                <c:pt idx="24">
                  <c:v>0.30930000000000002</c:v>
                </c:pt>
                <c:pt idx="25">
                  <c:v>0.31790000000000002</c:v>
                </c:pt>
                <c:pt idx="26">
                  <c:v>0.32469999999999999</c:v>
                </c:pt>
                <c:pt idx="27">
                  <c:v>0.32769999999999999</c:v>
                </c:pt>
                <c:pt idx="28">
                  <c:v>0.3301</c:v>
                </c:pt>
                <c:pt idx="29">
                  <c:v>0.3286</c:v>
                </c:pt>
                <c:pt idx="30">
                  <c:v>0.32350000000000001</c:v>
                </c:pt>
                <c:pt idx="31">
                  <c:v>0.31830000000000003</c:v>
                </c:pt>
                <c:pt idx="32">
                  <c:v>0.31159999999999999</c:v>
                </c:pt>
                <c:pt idx="33">
                  <c:v>0.30349999999999999</c:v>
                </c:pt>
                <c:pt idx="34">
                  <c:v>0.29430000000000001</c:v>
                </c:pt>
                <c:pt idx="35">
                  <c:v>0.28399999999999997</c:v>
                </c:pt>
                <c:pt idx="36">
                  <c:v>0.27339999999999998</c:v>
                </c:pt>
                <c:pt idx="37">
                  <c:v>0.2621</c:v>
                </c:pt>
                <c:pt idx="38">
                  <c:v>0.25119999999999998</c:v>
                </c:pt>
                <c:pt idx="39">
                  <c:v>0.2397</c:v>
                </c:pt>
                <c:pt idx="40">
                  <c:v>0.2288</c:v>
                </c:pt>
                <c:pt idx="41">
                  <c:v>0.21840000000000001</c:v>
                </c:pt>
                <c:pt idx="42">
                  <c:v>0.20760000000000001</c:v>
                </c:pt>
                <c:pt idx="43">
                  <c:v>0.19750000000000001</c:v>
                </c:pt>
                <c:pt idx="44">
                  <c:v>0.18770000000000001</c:v>
                </c:pt>
                <c:pt idx="45">
                  <c:v>0.17860000000000001</c:v>
                </c:pt>
                <c:pt idx="46">
                  <c:v>0.16980000000000001</c:v>
                </c:pt>
                <c:pt idx="47">
                  <c:v>0.16159999999999999</c:v>
                </c:pt>
                <c:pt idx="48">
                  <c:v>0.15390000000000001</c:v>
                </c:pt>
                <c:pt idx="49">
                  <c:v>0.14699999999999999</c:v>
                </c:pt>
                <c:pt idx="50">
                  <c:v>0.14000000000000001</c:v>
                </c:pt>
                <c:pt idx="51">
                  <c:v>0.1331</c:v>
                </c:pt>
                <c:pt idx="52">
                  <c:v>0.12659999999999999</c:v>
                </c:pt>
                <c:pt idx="53">
                  <c:v>0.1216</c:v>
                </c:pt>
                <c:pt idx="54">
                  <c:v>0.1157</c:v>
                </c:pt>
                <c:pt idx="55">
                  <c:v>0.1111</c:v>
                </c:pt>
                <c:pt idx="56">
                  <c:v>0.10630000000000001</c:v>
                </c:pt>
                <c:pt idx="57">
                  <c:v>0.10100000000000001</c:v>
                </c:pt>
                <c:pt idx="58">
                  <c:v>9.7100000000000006E-2</c:v>
                </c:pt>
                <c:pt idx="59">
                  <c:v>9.2999999999999999E-2</c:v>
                </c:pt>
                <c:pt idx="60">
                  <c:v>8.8999999999999996E-2</c:v>
                </c:pt>
                <c:pt idx="61">
                  <c:v>8.5800000000000001E-2</c:v>
                </c:pt>
                <c:pt idx="62">
                  <c:v>8.2799999999999999E-2</c:v>
                </c:pt>
                <c:pt idx="63">
                  <c:v>7.9299999999999995E-2</c:v>
                </c:pt>
                <c:pt idx="64">
                  <c:v>7.6499999999999999E-2</c:v>
                </c:pt>
                <c:pt idx="65">
                  <c:v>7.3899999999999993E-2</c:v>
                </c:pt>
                <c:pt idx="66">
                  <c:v>7.17E-2</c:v>
                </c:pt>
                <c:pt idx="67">
                  <c:v>6.93E-2</c:v>
                </c:pt>
                <c:pt idx="68">
                  <c:v>6.6900000000000001E-2</c:v>
                </c:pt>
                <c:pt idx="69">
                  <c:v>6.4500000000000002E-2</c:v>
                </c:pt>
                <c:pt idx="70">
                  <c:v>6.2600000000000003E-2</c:v>
                </c:pt>
                <c:pt idx="71">
                  <c:v>6.0499999999999998E-2</c:v>
                </c:pt>
                <c:pt idx="72">
                  <c:v>5.8700000000000002E-2</c:v>
                </c:pt>
                <c:pt idx="73">
                  <c:v>5.6800000000000003E-2</c:v>
                </c:pt>
                <c:pt idx="74">
                  <c:v>5.5E-2</c:v>
                </c:pt>
                <c:pt idx="75">
                  <c:v>5.3400000000000003E-2</c:v>
                </c:pt>
                <c:pt idx="76">
                  <c:v>5.1799999999999999E-2</c:v>
                </c:pt>
                <c:pt idx="77">
                  <c:v>5.04E-2</c:v>
                </c:pt>
                <c:pt idx="78">
                  <c:v>4.8899999999999999E-2</c:v>
                </c:pt>
                <c:pt idx="79">
                  <c:v>4.7399999999999998E-2</c:v>
                </c:pt>
                <c:pt idx="80">
                  <c:v>4.4900000000000002E-2</c:v>
                </c:pt>
                <c:pt idx="81">
                  <c:v>4.2500000000000003E-2</c:v>
                </c:pt>
                <c:pt idx="82">
                  <c:v>4.0300000000000002E-2</c:v>
                </c:pt>
                <c:pt idx="83">
                  <c:v>3.85E-2</c:v>
                </c:pt>
                <c:pt idx="84">
                  <c:v>3.6600000000000001E-2</c:v>
                </c:pt>
                <c:pt idx="85">
                  <c:v>3.49E-2</c:v>
                </c:pt>
                <c:pt idx="86">
                  <c:v>3.3300000000000003E-2</c:v>
                </c:pt>
                <c:pt idx="87">
                  <c:v>3.1699999999999999E-2</c:v>
                </c:pt>
                <c:pt idx="88">
                  <c:v>3.0300000000000001E-2</c:v>
                </c:pt>
                <c:pt idx="89">
                  <c:v>2.9100000000000001E-2</c:v>
                </c:pt>
                <c:pt idx="90">
                  <c:v>2.6200000000000001E-2</c:v>
                </c:pt>
                <c:pt idx="91">
                  <c:v>2.3699999999999999E-2</c:v>
                </c:pt>
                <c:pt idx="92">
                  <c:v>2.1600000000000001E-2</c:v>
                </c:pt>
                <c:pt idx="93">
                  <c:v>1.9699999999999999E-2</c:v>
                </c:pt>
                <c:pt idx="94">
                  <c:v>1.8100000000000002E-2</c:v>
                </c:pt>
                <c:pt idx="95">
                  <c:v>1.67E-2</c:v>
                </c:pt>
                <c:pt idx="96">
                  <c:v>1.54E-2</c:v>
                </c:pt>
                <c:pt idx="97">
                  <c:v>1.4200000000000001E-2</c:v>
                </c:pt>
                <c:pt idx="98">
                  <c:v>1.32E-2</c:v>
                </c:pt>
                <c:pt idx="99">
                  <c:v>1.23E-2</c:v>
                </c:pt>
                <c:pt idx="100">
                  <c:v>1.15E-2</c:v>
                </c:pt>
                <c:pt idx="101">
                  <c:v>1.0699999999999999E-2</c:v>
                </c:pt>
                <c:pt idx="102">
                  <c:v>1.01E-2</c:v>
                </c:pt>
                <c:pt idx="103">
                  <c:v>9.4999999999999998E-3</c:v>
                </c:pt>
                <c:pt idx="104">
                  <c:v>8.8999999999999999E-3</c:v>
                </c:pt>
                <c:pt idx="105">
                  <c:v>8.3999999999999995E-3</c:v>
                </c:pt>
                <c:pt idx="106">
                  <c:v>8.0000000000000002E-3</c:v>
                </c:pt>
                <c:pt idx="107">
                  <c:v>7.4999999999999997E-3</c:v>
                </c:pt>
                <c:pt idx="108">
                  <c:v>7.1000000000000004E-3</c:v>
                </c:pt>
                <c:pt idx="109">
                  <c:v>6.7999999999999996E-3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D6-46BC-94E8-32D84CBAC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285912"/>
        <c:axId val="513286696"/>
      </c:scatterChart>
      <c:valAx>
        <c:axId val="51328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6696"/>
        <c:crosses val="autoZero"/>
        <c:crossBetween val="midCat"/>
      </c:valAx>
      <c:valAx>
        <c:axId val="51328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8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521'!$H$1</c:f>
              <c:strCache>
                <c:ptCount val="1"/>
                <c:pt idx="0">
                  <c:v>I_raw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521'!$G$2:$G$113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521'!$H$2:$H$113</c:f>
              <c:numCache>
                <c:formatCode>General</c:formatCode>
                <c:ptCount val="112"/>
                <c:pt idx="0">
                  <c:v>0.14399999999999999</c:v>
                </c:pt>
                <c:pt idx="1">
                  <c:v>0.14399999999999999</c:v>
                </c:pt>
                <c:pt idx="2">
                  <c:v>0.14399999999999999</c:v>
                </c:pt>
                <c:pt idx="3">
                  <c:v>0.14399999999999999</c:v>
                </c:pt>
                <c:pt idx="4">
                  <c:v>0.14419999999999999</c:v>
                </c:pt>
                <c:pt idx="5">
                  <c:v>0.1444</c:v>
                </c:pt>
                <c:pt idx="6">
                  <c:v>0.14460000000000001</c:v>
                </c:pt>
                <c:pt idx="7">
                  <c:v>0.14499999999999999</c:v>
                </c:pt>
                <c:pt idx="8">
                  <c:v>0.14530000000000001</c:v>
                </c:pt>
                <c:pt idx="9">
                  <c:v>0.14580000000000001</c:v>
                </c:pt>
                <c:pt idx="10">
                  <c:v>0.1467</c:v>
                </c:pt>
                <c:pt idx="11">
                  <c:v>0.14799999999999999</c:v>
                </c:pt>
                <c:pt idx="12">
                  <c:v>0.15010000000000001</c:v>
                </c:pt>
                <c:pt idx="13">
                  <c:v>0.154</c:v>
                </c:pt>
                <c:pt idx="14">
                  <c:v>0.16020000000000001</c:v>
                </c:pt>
                <c:pt idx="15">
                  <c:v>0.16969999999999999</c:v>
                </c:pt>
                <c:pt idx="16">
                  <c:v>0.18310000000000001</c:v>
                </c:pt>
                <c:pt idx="17">
                  <c:v>0.19919999999999999</c:v>
                </c:pt>
                <c:pt idx="18">
                  <c:v>0.21690000000000001</c:v>
                </c:pt>
                <c:pt idx="19">
                  <c:v>0.23580000000000001</c:v>
                </c:pt>
                <c:pt idx="20">
                  <c:v>0.25390000000000001</c:v>
                </c:pt>
                <c:pt idx="21">
                  <c:v>0.27089999999999997</c:v>
                </c:pt>
                <c:pt idx="22">
                  <c:v>0.28739999999999999</c:v>
                </c:pt>
                <c:pt idx="23">
                  <c:v>0.29970000000000002</c:v>
                </c:pt>
                <c:pt idx="24">
                  <c:v>0.30930000000000002</c:v>
                </c:pt>
                <c:pt idx="25">
                  <c:v>0.31790000000000002</c:v>
                </c:pt>
                <c:pt idx="26">
                  <c:v>0.32469999999999999</c:v>
                </c:pt>
                <c:pt idx="27">
                  <c:v>0.32769999999999999</c:v>
                </c:pt>
                <c:pt idx="28">
                  <c:v>0.3301</c:v>
                </c:pt>
                <c:pt idx="29">
                  <c:v>0.3286</c:v>
                </c:pt>
                <c:pt idx="30">
                  <c:v>0.32350000000000001</c:v>
                </c:pt>
                <c:pt idx="31">
                  <c:v>0.31830000000000003</c:v>
                </c:pt>
                <c:pt idx="32">
                  <c:v>0.31159999999999999</c:v>
                </c:pt>
                <c:pt idx="33">
                  <c:v>0.30349999999999999</c:v>
                </c:pt>
                <c:pt idx="34">
                  <c:v>0.29430000000000001</c:v>
                </c:pt>
                <c:pt idx="35">
                  <c:v>0.28399999999999997</c:v>
                </c:pt>
                <c:pt idx="36">
                  <c:v>0.27339999999999998</c:v>
                </c:pt>
                <c:pt idx="37">
                  <c:v>0.2621</c:v>
                </c:pt>
                <c:pt idx="38">
                  <c:v>0.25119999999999998</c:v>
                </c:pt>
                <c:pt idx="39">
                  <c:v>0.2397</c:v>
                </c:pt>
                <c:pt idx="40">
                  <c:v>0.2288</c:v>
                </c:pt>
                <c:pt idx="41">
                  <c:v>0.21840000000000001</c:v>
                </c:pt>
                <c:pt idx="42">
                  <c:v>0.20760000000000001</c:v>
                </c:pt>
                <c:pt idx="43">
                  <c:v>0.19750000000000001</c:v>
                </c:pt>
                <c:pt idx="44">
                  <c:v>0.18770000000000001</c:v>
                </c:pt>
                <c:pt idx="45">
                  <c:v>0.17860000000000001</c:v>
                </c:pt>
                <c:pt idx="46">
                  <c:v>0.16980000000000001</c:v>
                </c:pt>
                <c:pt idx="47">
                  <c:v>0.16159999999999999</c:v>
                </c:pt>
                <c:pt idx="48">
                  <c:v>0.15390000000000001</c:v>
                </c:pt>
                <c:pt idx="49">
                  <c:v>0.14699999999999999</c:v>
                </c:pt>
                <c:pt idx="50">
                  <c:v>0.14000000000000001</c:v>
                </c:pt>
                <c:pt idx="51">
                  <c:v>0.1331</c:v>
                </c:pt>
                <c:pt idx="52">
                  <c:v>0.12659999999999999</c:v>
                </c:pt>
                <c:pt idx="53">
                  <c:v>0.1216</c:v>
                </c:pt>
                <c:pt idx="54">
                  <c:v>0.1157</c:v>
                </c:pt>
                <c:pt idx="55">
                  <c:v>0.1111</c:v>
                </c:pt>
                <c:pt idx="56">
                  <c:v>0.10630000000000001</c:v>
                </c:pt>
                <c:pt idx="57">
                  <c:v>0.10100000000000001</c:v>
                </c:pt>
                <c:pt idx="58">
                  <c:v>9.7100000000000006E-2</c:v>
                </c:pt>
                <c:pt idx="59">
                  <c:v>9.2999999999999999E-2</c:v>
                </c:pt>
                <c:pt idx="60">
                  <c:v>8.8999999999999996E-2</c:v>
                </c:pt>
                <c:pt idx="61">
                  <c:v>8.5800000000000001E-2</c:v>
                </c:pt>
                <c:pt idx="62">
                  <c:v>8.2799999999999999E-2</c:v>
                </c:pt>
                <c:pt idx="63">
                  <c:v>7.9299999999999995E-2</c:v>
                </c:pt>
                <c:pt idx="64">
                  <c:v>7.6499999999999999E-2</c:v>
                </c:pt>
                <c:pt idx="65">
                  <c:v>7.3899999999999993E-2</c:v>
                </c:pt>
                <c:pt idx="66">
                  <c:v>7.17E-2</c:v>
                </c:pt>
                <c:pt idx="67">
                  <c:v>6.93E-2</c:v>
                </c:pt>
                <c:pt idx="68">
                  <c:v>6.6900000000000001E-2</c:v>
                </c:pt>
                <c:pt idx="69">
                  <c:v>6.4500000000000002E-2</c:v>
                </c:pt>
                <c:pt idx="70">
                  <c:v>6.2600000000000003E-2</c:v>
                </c:pt>
                <c:pt idx="71">
                  <c:v>6.0499999999999998E-2</c:v>
                </c:pt>
                <c:pt idx="72">
                  <c:v>5.8700000000000002E-2</c:v>
                </c:pt>
                <c:pt idx="73">
                  <c:v>5.6800000000000003E-2</c:v>
                </c:pt>
                <c:pt idx="74">
                  <c:v>5.5E-2</c:v>
                </c:pt>
                <c:pt idx="75">
                  <c:v>5.3400000000000003E-2</c:v>
                </c:pt>
                <c:pt idx="76">
                  <c:v>5.1799999999999999E-2</c:v>
                </c:pt>
                <c:pt idx="77">
                  <c:v>5.04E-2</c:v>
                </c:pt>
                <c:pt idx="78">
                  <c:v>4.8899999999999999E-2</c:v>
                </c:pt>
                <c:pt idx="79">
                  <c:v>4.7399999999999998E-2</c:v>
                </c:pt>
                <c:pt idx="80">
                  <c:v>4.4900000000000002E-2</c:v>
                </c:pt>
                <c:pt idx="81">
                  <c:v>4.2500000000000003E-2</c:v>
                </c:pt>
                <c:pt idx="82">
                  <c:v>4.0300000000000002E-2</c:v>
                </c:pt>
                <c:pt idx="83">
                  <c:v>3.85E-2</c:v>
                </c:pt>
                <c:pt idx="84">
                  <c:v>3.6600000000000001E-2</c:v>
                </c:pt>
                <c:pt idx="85">
                  <c:v>3.49E-2</c:v>
                </c:pt>
                <c:pt idx="86">
                  <c:v>3.3300000000000003E-2</c:v>
                </c:pt>
                <c:pt idx="87">
                  <c:v>3.1699999999999999E-2</c:v>
                </c:pt>
                <c:pt idx="88">
                  <c:v>3.0300000000000001E-2</c:v>
                </c:pt>
                <c:pt idx="89">
                  <c:v>2.9100000000000001E-2</c:v>
                </c:pt>
                <c:pt idx="90">
                  <c:v>2.6200000000000001E-2</c:v>
                </c:pt>
                <c:pt idx="91">
                  <c:v>2.3699999999999999E-2</c:v>
                </c:pt>
                <c:pt idx="92">
                  <c:v>2.1600000000000001E-2</c:v>
                </c:pt>
                <c:pt idx="93">
                  <c:v>1.9699999999999999E-2</c:v>
                </c:pt>
                <c:pt idx="94">
                  <c:v>1.8100000000000002E-2</c:v>
                </c:pt>
                <c:pt idx="95">
                  <c:v>1.67E-2</c:v>
                </c:pt>
                <c:pt idx="96">
                  <c:v>1.54E-2</c:v>
                </c:pt>
                <c:pt idx="97">
                  <c:v>1.4200000000000001E-2</c:v>
                </c:pt>
                <c:pt idx="98">
                  <c:v>1.32E-2</c:v>
                </c:pt>
                <c:pt idx="99">
                  <c:v>1.23E-2</c:v>
                </c:pt>
                <c:pt idx="100">
                  <c:v>1.15E-2</c:v>
                </c:pt>
                <c:pt idx="101">
                  <c:v>1.0699999999999999E-2</c:v>
                </c:pt>
                <c:pt idx="102">
                  <c:v>1.01E-2</c:v>
                </c:pt>
                <c:pt idx="103">
                  <c:v>9.4999999999999998E-3</c:v>
                </c:pt>
                <c:pt idx="104">
                  <c:v>8.8999999999999999E-3</c:v>
                </c:pt>
                <c:pt idx="105">
                  <c:v>8.3999999999999995E-3</c:v>
                </c:pt>
                <c:pt idx="106">
                  <c:v>8.0000000000000002E-3</c:v>
                </c:pt>
                <c:pt idx="107">
                  <c:v>7.4999999999999997E-3</c:v>
                </c:pt>
                <c:pt idx="108">
                  <c:v>7.1000000000000004E-3</c:v>
                </c:pt>
                <c:pt idx="109">
                  <c:v>6.7999999999999996E-3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F0-4639-A89F-187E12D8AA55}"/>
            </c:ext>
          </c:extLst>
        </c:ser>
        <c:ser>
          <c:idx val="1"/>
          <c:order val="1"/>
          <c:tx>
            <c:strRef>
              <c:f>'LCVR 521'!$I$1</c:f>
              <c:strCache>
                <c:ptCount val="1"/>
                <c:pt idx="0">
                  <c:v>I_normed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'LCVR 521'!$G$2:$G$113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521'!$I$2:$I$113</c:f>
              <c:numCache>
                <c:formatCode>General</c:formatCode>
                <c:ptCount val="112"/>
                <c:pt idx="0">
                  <c:v>0.14399999999999999</c:v>
                </c:pt>
                <c:pt idx="1">
                  <c:v>0.14406030150753768</c:v>
                </c:pt>
                <c:pt idx="2">
                  <c:v>0.14406030150753768</c:v>
                </c:pt>
                <c:pt idx="3">
                  <c:v>0.14412065354000836</c:v>
                </c:pt>
                <c:pt idx="4">
                  <c:v>0.144381307627829</c:v>
                </c:pt>
                <c:pt idx="5">
                  <c:v>0.14452098868873062</c:v>
                </c:pt>
                <c:pt idx="6">
                  <c:v>0.14490327181208054</c:v>
                </c:pt>
                <c:pt idx="7">
                  <c:v>0.14524318658280921</c:v>
                </c:pt>
                <c:pt idx="8">
                  <c:v>0.14572699412258608</c:v>
                </c:pt>
                <c:pt idx="9">
                  <c:v>0.14598331936295053</c:v>
                </c:pt>
                <c:pt idx="10">
                  <c:v>0.14725474789915968</c:v>
                </c:pt>
                <c:pt idx="11">
                  <c:v>0.14874716028607488</c:v>
                </c:pt>
                <c:pt idx="12">
                  <c:v>0.15130333333333337</c:v>
                </c:pt>
                <c:pt idx="13">
                  <c:v>0.15595845697329377</c:v>
                </c:pt>
                <c:pt idx="14">
                  <c:v>0.16203124470787472</c:v>
                </c:pt>
                <c:pt idx="15">
                  <c:v>0.1710604641350211</c:v>
                </c:pt>
                <c:pt idx="16">
                  <c:v>0.18449004639392663</c:v>
                </c:pt>
                <c:pt idx="17">
                  <c:v>0.20003732660781842</c:v>
                </c:pt>
                <c:pt idx="18">
                  <c:v>0.21900849535080305</c:v>
                </c:pt>
                <c:pt idx="19">
                  <c:v>0.2390013576580399</c:v>
                </c:pt>
                <c:pt idx="20">
                  <c:v>0.25756564755838646</c:v>
                </c:pt>
                <c:pt idx="21">
                  <c:v>0.27481108280254773</c:v>
                </c:pt>
                <c:pt idx="22">
                  <c:v>0.29254307626757564</c:v>
                </c:pt>
                <c:pt idx="23">
                  <c:v>0.30376890114552396</c:v>
                </c:pt>
                <c:pt idx="24">
                  <c:v>0.31112324210526321</c:v>
                </c:pt>
                <c:pt idx="25">
                  <c:v>0.32112604651162796</c:v>
                </c:pt>
                <c:pt idx="26">
                  <c:v>0.32744124102997041</c:v>
                </c:pt>
                <c:pt idx="27">
                  <c:v>0.3300486087689713</c:v>
                </c:pt>
                <c:pt idx="28">
                  <c:v>0.33429796523950828</c:v>
                </c:pt>
                <c:pt idx="29">
                  <c:v>0.33277888935989824</c:v>
                </c:pt>
                <c:pt idx="30">
                  <c:v>0.32404255765199164</c:v>
                </c:pt>
                <c:pt idx="31">
                  <c:v>0.31923539042821164</c:v>
                </c:pt>
                <c:pt idx="32">
                  <c:v>0.31290979403110547</c:v>
                </c:pt>
                <c:pt idx="33">
                  <c:v>0.30554635482511588</c:v>
                </c:pt>
                <c:pt idx="34">
                  <c:v>0.2962843236409608</c:v>
                </c:pt>
                <c:pt idx="35">
                  <c:v>0.2856741052631579</c:v>
                </c:pt>
                <c:pt idx="36">
                  <c:v>0.2751274641954507</c:v>
                </c:pt>
                <c:pt idx="37">
                  <c:v>0.26420122362869203</c:v>
                </c:pt>
                <c:pt idx="38">
                  <c:v>0.25374917547568709</c:v>
                </c:pt>
                <c:pt idx="39">
                  <c:v>0.24121453243470936</c:v>
                </c:pt>
                <c:pt idx="40">
                  <c:v>0.23053698861239982</c:v>
                </c:pt>
                <c:pt idx="41">
                  <c:v>0.22033682432432433</c:v>
                </c:pt>
                <c:pt idx="42">
                  <c:v>0.20899974715549938</c:v>
                </c:pt>
                <c:pt idx="43">
                  <c:v>0.19883164770332912</c:v>
                </c:pt>
                <c:pt idx="44">
                  <c:v>0.18880644210526318</c:v>
                </c:pt>
                <c:pt idx="45">
                  <c:v>0.17972847514743051</c:v>
                </c:pt>
                <c:pt idx="46">
                  <c:v>0.17087287278854255</c:v>
                </c:pt>
                <c:pt idx="47">
                  <c:v>0.16268959123472396</c:v>
                </c:pt>
                <c:pt idx="48">
                  <c:v>0.15493767383059417</c:v>
                </c:pt>
                <c:pt idx="49">
                  <c:v>0.14849175475687104</c:v>
                </c:pt>
                <c:pt idx="50">
                  <c:v>0.14124155405405406</c:v>
                </c:pt>
                <c:pt idx="51">
                  <c:v>0.1339409856781803</c:v>
                </c:pt>
                <c:pt idx="52">
                  <c:v>0.12723912494741271</c:v>
                </c:pt>
                <c:pt idx="53">
                  <c:v>0.1228339957716702</c:v>
                </c:pt>
                <c:pt idx="54">
                  <c:v>0.11667678345293372</c:v>
                </c:pt>
                <c:pt idx="55">
                  <c:v>0.11246521186440679</c:v>
                </c:pt>
                <c:pt idx="56">
                  <c:v>0.10769749787955896</c:v>
                </c:pt>
                <c:pt idx="57">
                  <c:v>0.10168099452170248</c:v>
                </c:pt>
                <c:pt idx="58">
                  <c:v>9.775469869363676E-2</c:v>
                </c:pt>
                <c:pt idx="59">
                  <c:v>9.3666526138279929E-2</c:v>
                </c:pt>
                <c:pt idx="60">
                  <c:v>8.9562342038753157E-2</c:v>
                </c:pt>
                <c:pt idx="61">
                  <c:v>8.6487848101265835E-2</c:v>
                </c:pt>
                <c:pt idx="62">
                  <c:v>8.33582806573957E-2</c:v>
                </c:pt>
                <c:pt idx="63">
                  <c:v>7.9969480793583791E-2</c:v>
                </c:pt>
                <c:pt idx="64">
                  <c:v>7.7309010152284266E-2</c:v>
                </c:pt>
                <c:pt idx="65">
                  <c:v>7.4681514382402697E-2</c:v>
                </c:pt>
                <c:pt idx="66">
                  <c:v>7.2766057774001691E-2</c:v>
                </c:pt>
                <c:pt idx="67">
                  <c:v>7.0480076628352498E-2</c:v>
                </c:pt>
                <c:pt idx="68">
                  <c:v>6.8010255319148935E-2</c:v>
                </c:pt>
                <c:pt idx="69">
                  <c:v>6.5486825329366768E-2</c:v>
                </c:pt>
                <c:pt idx="70">
                  <c:v>6.3747399829497023E-2</c:v>
                </c:pt>
                <c:pt idx="71">
                  <c:v>6.1608908780903665E-2</c:v>
                </c:pt>
                <c:pt idx="72">
                  <c:v>5.975044737963358E-2</c:v>
                </c:pt>
                <c:pt idx="73">
                  <c:v>5.7841091219096342E-2</c:v>
                </c:pt>
                <c:pt idx="74">
                  <c:v>5.5984235193864508E-2</c:v>
                </c:pt>
                <c:pt idx="75">
                  <c:v>5.4378772378516627E-2</c:v>
                </c:pt>
                <c:pt idx="76">
                  <c:v>5.2749445865302641E-2</c:v>
                </c:pt>
                <c:pt idx="77">
                  <c:v>5.1323785166240414E-2</c:v>
                </c:pt>
                <c:pt idx="78">
                  <c:v>4.9775074563272265E-2</c:v>
                </c:pt>
                <c:pt idx="79">
                  <c:v>4.8186638297872342E-2</c:v>
                </c:pt>
                <c:pt idx="80">
                  <c:v>4.5684028960817719E-2</c:v>
                </c:pt>
                <c:pt idx="81">
                  <c:v>4.3260545377077124E-2</c:v>
                </c:pt>
                <c:pt idx="82">
                  <c:v>4.1021175969322546E-2</c:v>
                </c:pt>
                <c:pt idx="83">
                  <c:v>3.9239121160409555E-2</c:v>
                </c:pt>
                <c:pt idx="84">
                  <c:v>3.7318565941101153E-2</c:v>
                </c:pt>
                <c:pt idx="85">
                  <c:v>3.557000853242321E-2</c:v>
                </c:pt>
                <c:pt idx="86">
                  <c:v>3.3953777208706792E-2</c:v>
                </c:pt>
                <c:pt idx="87">
                  <c:v>3.2294797441364605E-2</c:v>
                </c:pt>
                <c:pt idx="88">
                  <c:v>3.0868528784648189E-2</c:v>
                </c:pt>
                <c:pt idx="89">
                  <c:v>2.9671318822023045E-2</c:v>
                </c:pt>
                <c:pt idx="90">
                  <c:v>2.6748632478632479E-2</c:v>
                </c:pt>
                <c:pt idx="91">
                  <c:v>2.4206626763574178E-2</c:v>
                </c:pt>
                <c:pt idx="92">
                  <c:v>2.2042887654848357E-2</c:v>
                </c:pt>
                <c:pt idx="93">
                  <c:v>2.0069637526652452E-2</c:v>
                </c:pt>
                <c:pt idx="94">
                  <c:v>1.8447482935153584E-2</c:v>
                </c:pt>
                <c:pt idx="95">
                  <c:v>1.7042417770183681E-2</c:v>
                </c:pt>
                <c:pt idx="96">
                  <c:v>1.5695648464163822E-2</c:v>
                </c:pt>
                <c:pt idx="97">
                  <c:v>1.4472610921501709E-2</c:v>
                </c:pt>
                <c:pt idx="98">
                  <c:v>1.3441943734015346E-2</c:v>
                </c:pt>
                <c:pt idx="99">
                  <c:v>1.2525447570332479E-2</c:v>
                </c:pt>
                <c:pt idx="100">
                  <c:v>1.1715778251599147E-2</c:v>
                </c:pt>
                <c:pt idx="101">
                  <c:v>1.0905418088737202E-2</c:v>
                </c:pt>
                <c:pt idx="102">
                  <c:v>1.028950959488273E-2</c:v>
                </c:pt>
                <c:pt idx="103">
                  <c:v>9.7030782385634888E-3</c:v>
                </c:pt>
                <c:pt idx="104">
                  <c:v>9.0747332479726838E-3</c:v>
                </c:pt>
                <c:pt idx="105">
                  <c:v>8.5612627986348111E-3</c:v>
                </c:pt>
                <c:pt idx="106">
                  <c:v>8.1640324647586499E-3</c:v>
                </c:pt>
                <c:pt idx="107">
                  <c:v>7.6603249251817017E-3</c:v>
                </c:pt>
                <c:pt idx="108">
                  <c:v>7.2517742625053455E-3</c:v>
                </c:pt>
                <c:pt idx="109">
                  <c:v>6.9453612654980764E-3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F0-4639-A89F-187E12D8AA55}"/>
            </c:ext>
          </c:extLst>
        </c:ser>
        <c:ser>
          <c:idx val="2"/>
          <c:order val="2"/>
          <c:tx>
            <c:strRef>
              <c:f>'LCVR 521'!$J$1</c:f>
              <c:strCache>
                <c:ptCount val="1"/>
                <c:pt idx="0">
                  <c:v>f (rad)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'LCVR 521'!$G$2:$G$113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521'!$J$2:$J$113</c:f>
              <c:numCache>
                <c:formatCode>General</c:formatCode>
                <c:ptCount val="112"/>
                <c:pt idx="0">
                  <c:v>1.4318566260711307</c:v>
                </c:pt>
                <c:pt idx="1">
                  <c:v>1.4322208922077839</c:v>
                </c:pt>
                <c:pt idx="2">
                  <c:v>1.4322208922077839</c:v>
                </c:pt>
                <c:pt idx="3">
                  <c:v>1.4325854450242921</c:v>
                </c:pt>
                <c:pt idx="4">
                  <c:v>1.4341596986747573</c:v>
                </c:pt>
                <c:pt idx="5">
                  <c:v>1.4350031798205269</c:v>
                </c:pt>
                <c:pt idx="6">
                  <c:v>1.4373111479967537</c:v>
                </c:pt>
                <c:pt idx="7">
                  <c:v>1.439362723591006</c:v>
                </c:pt>
                <c:pt idx="8">
                  <c:v>1.4422818153565178</c:v>
                </c:pt>
                <c:pt idx="9">
                  <c:v>1.4438279266071941</c:v>
                </c:pt>
                <c:pt idx="10">
                  <c:v>1.4514925377972707</c:v>
                </c:pt>
                <c:pt idx="11">
                  <c:v>1.4604803743058345</c:v>
                </c:pt>
                <c:pt idx="12">
                  <c:v>1.4758542005393558</c:v>
                </c:pt>
                <c:pt idx="13">
                  <c:v>1.5037968026758595</c:v>
                </c:pt>
                <c:pt idx="14">
                  <c:v>1.540173718305333</c:v>
                </c:pt>
                <c:pt idx="15">
                  <c:v>1.5941996316754548</c:v>
                </c:pt>
                <c:pt idx="16">
                  <c:v>1.6747294939919051</c:v>
                </c:pt>
                <c:pt idx="17">
                  <c:v>1.7688492179516457</c:v>
                </c:pt>
                <c:pt idx="18">
                  <c:v>1.8862620216118846</c:v>
                </c:pt>
                <c:pt idx="19">
                  <c:v>2.0151453943192581</c:v>
                </c:pt>
                <c:pt idx="20">
                  <c:v>2.142344228111468</c:v>
                </c:pt>
                <c:pt idx="21">
                  <c:v>2.2706537316749715</c:v>
                </c:pt>
                <c:pt idx="22">
                  <c:v>2.41915111965388</c:v>
                </c:pt>
                <c:pt idx="23">
                  <c:v>2.5275999026651803</c:v>
                </c:pt>
                <c:pt idx="24">
                  <c:v>2.6087231517644089</c:v>
                </c:pt>
                <c:pt idx="25">
                  <c:v>2.7419408613184926</c:v>
                </c:pt>
                <c:pt idx="26">
                  <c:v>2.8541723885303227</c:v>
                </c:pt>
                <c:pt idx="27">
                  <c:v>2.9156235288324668</c:v>
                </c:pt>
                <c:pt idx="28">
                  <c:v>3.1415926535897931</c:v>
                </c:pt>
                <c:pt idx="29">
                  <c:v>3.0066707923200182</c:v>
                </c:pt>
                <c:pt idx="30">
                  <c:v>2.7894768580113296</c:v>
                </c:pt>
                <c:pt idx="31">
                  <c:v>2.7138039068309832</c:v>
                </c:pt>
                <c:pt idx="32">
                  <c:v>2.6301539697516794</c:v>
                </c:pt>
                <c:pt idx="33">
                  <c:v>2.5463065866836878</c:v>
                </c:pt>
                <c:pt idx="34">
                  <c:v>2.4536851713860974</c:v>
                </c:pt>
                <c:pt idx="35">
                  <c:v>2.3590154406275818</c:v>
                </c:pt>
                <c:pt idx="36">
                  <c:v>2.2731307933109681</c:v>
                </c:pt>
                <c:pt idx="37">
                  <c:v>2.1903024748670021</c:v>
                </c:pt>
                <c:pt idx="38">
                  <c:v>2.1154265215240384</c:v>
                </c:pt>
                <c:pt idx="39">
                  <c:v>2.0298623061607834</c:v>
                </c:pt>
                <c:pt idx="40">
                  <c:v>1.9597609500684845</c:v>
                </c:pt>
                <c:pt idx="41">
                  <c:v>1.8946330549824379</c:v>
                </c:pt>
                <c:pt idx="42">
                  <c:v>1.8238690781577511</c:v>
                </c:pt>
                <c:pt idx="43">
                  <c:v>1.7614975574080665</c:v>
                </c:pt>
                <c:pt idx="44">
                  <c:v>1.7007314322982499</c:v>
                </c:pt>
                <c:pt idx="45">
                  <c:v>1.646126715396621</c:v>
                </c:pt>
                <c:pt idx="46">
                  <c:v>1.5930770385096864</c:v>
                </c:pt>
                <c:pt idx="47">
                  <c:v>1.5441140191929188</c:v>
                </c:pt>
                <c:pt idx="48">
                  <c:v>1.4976747485304314</c:v>
                </c:pt>
                <c:pt idx="49">
                  <c:v>1.4589428864825136</c:v>
                </c:pt>
                <c:pt idx="50">
                  <c:v>1.4151728929782332</c:v>
                </c:pt>
                <c:pt idx="51">
                  <c:v>1.3707925395129141</c:v>
                </c:pt>
                <c:pt idx="52">
                  <c:v>1.3296991878901172</c:v>
                </c:pt>
                <c:pt idx="53">
                  <c:v>1.3024651697987699</c:v>
                </c:pt>
                <c:pt idx="54">
                  <c:v>1.2640490442311063</c:v>
                </c:pt>
                <c:pt idx="55">
                  <c:v>1.2375040820616829</c:v>
                </c:pt>
                <c:pt idx="56">
                  <c:v>1.2071552008710893</c:v>
                </c:pt>
                <c:pt idx="57">
                  <c:v>1.1683455738473816</c:v>
                </c:pt>
                <c:pt idx="58">
                  <c:v>1.142672973835456</c:v>
                </c:pt>
                <c:pt idx="59">
                  <c:v>1.1156179706729439</c:v>
                </c:pt>
                <c:pt idx="60">
                  <c:v>1.0880915972409482</c:v>
                </c:pt>
                <c:pt idx="61">
                  <c:v>1.0672093693097122</c:v>
                </c:pt>
                <c:pt idx="62">
                  <c:v>1.0457032771363641</c:v>
                </c:pt>
                <c:pt idx="63">
                  <c:v>1.0221090518739477</c:v>
                </c:pt>
                <c:pt idx="64">
                  <c:v>1.0033451861538376</c:v>
                </c:pt>
                <c:pt idx="65">
                  <c:v>0.98459097772198634</c:v>
                </c:pt>
                <c:pt idx="66">
                  <c:v>0.97077088422559354</c:v>
                </c:pt>
                <c:pt idx="67">
                  <c:v>0.95410419868559204</c:v>
                </c:pt>
                <c:pt idx="68">
                  <c:v>0.93587279764950482</c:v>
                </c:pt>
                <c:pt idx="69">
                  <c:v>0.9169891563081457</c:v>
                </c:pt>
                <c:pt idx="70">
                  <c:v>0.90381217799635305</c:v>
                </c:pt>
                <c:pt idx="71">
                  <c:v>0.88742203182515633</c:v>
                </c:pt>
                <c:pt idx="72">
                  <c:v>0.87299852623120544</c:v>
                </c:pt>
                <c:pt idx="73">
                  <c:v>0.85799600309606727</c:v>
                </c:pt>
                <c:pt idx="74">
                  <c:v>0.84321700019042523</c:v>
                </c:pt>
                <c:pt idx="75">
                  <c:v>0.83028036939164251</c:v>
                </c:pt>
                <c:pt idx="76">
                  <c:v>0.81699311639354666</c:v>
                </c:pt>
                <c:pt idx="77">
                  <c:v>0.80522938142347766</c:v>
                </c:pt>
                <c:pt idx="78">
                  <c:v>0.79229764160577654</c:v>
                </c:pt>
                <c:pt idx="79">
                  <c:v>0.77886053505618136</c:v>
                </c:pt>
                <c:pt idx="80">
                  <c:v>0.75730973575200622</c:v>
                </c:pt>
                <c:pt idx="81">
                  <c:v>0.73596139831909591</c:v>
                </c:pt>
                <c:pt idx="82">
                  <c:v>0.71577767608982612</c:v>
                </c:pt>
                <c:pt idx="83">
                  <c:v>0.69937506731542498</c:v>
                </c:pt>
                <c:pt idx="84">
                  <c:v>0.68133162859507779</c:v>
                </c:pt>
                <c:pt idx="85">
                  <c:v>0.66454772992043576</c:v>
                </c:pt>
                <c:pt idx="86">
                  <c:v>0.64870774678693477</c:v>
                </c:pt>
                <c:pt idx="87">
                  <c:v>0.63209691892681741</c:v>
                </c:pt>
                <c:pt idx="88">
                  <c:v>0.61750904516187477</c:v>
                </c:pt>
                <c:pt idx="89">
                  <c:v>0.60502866335244665</c:v>
                </c:pt>
                <c:pt idx="90">
                  <c:v>0.57356597593115499</c:v>
                </c:pt>
                <c:pt idx="91">
                  <c:v>0.5448996006304716</c:v>
                </c:pt>
                <c:pt idx="92">
                  <c:v>0.51938558075949603</c:v>
                </c:pt>
                <c:pt idx="93">
                  <c:v>0.49508222807373015</c:v>
                </c:pt>
                <c:pt idx="94">
                  <c:v>0.47425216050550456</c:v>
                </c:pt>
                <c:pt idx="95">
                  <c:v>0.45550143520344633</c:v>
                </c:pt>
                <c:pt idx="96">
                  <c:v>0.43682879676467046</c:v>
                </c:pt>
                <c:pt idx="97">
                  <c:v>0.41919988634296379</c:v>
                </c:pt>
                <c:pt idx="98">
                  <c:v>0.40378344699719415</c:v>
                </c:pt>
                <c:pt idx="99">
                  <c:v>0.389591812253403</c:v>
                </c:pt>
                <c:pt idx="100">
                  <c:v>0.37663324337417481</c:v>
                </c:pt>
                <c:pt idx="101">
                  <c:v>0.36322380199690274</c:v>
                </c:pt>
                <c:pt idx="102">
                  <c:v>0.35270688514232473</c:v>
                </c:pt>
                <c:pt idx="103">
                  <c:v>0.34240613413789034</c:v>
                </c:pt>
                <c:pt idx="104">
                  <c:v>0.33102804196708902</c:v>
                </c:pt>
                <c:pt idx="105">
                  <c:v>0.32144256872702837</c:v>
                </c:pt>
                <c:pt idx="106">
                  <c:v>0.31383344019846859</c:v>
                </c:pt>
                <c:pt idx="107">
                  <c:v>0.30392012402550139</c:v>
                </c:pt>
                <c:pt idx="108">
                  <c:v>0.29564331732450322</c:v>
                </c:pt>
                <c:pt idx="109">
                  <c:v>0.2892850247655554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F0-4639-A89F-187E12D8AA55}"/>
            </c:ext>
          </c:extLst>
        </c:ser>
        <c:ser>
          <c:idx val="3"/>
          <c:order val="3"/>
          <c:tx>
            <c:strRef>
              <c:f>'LCVR 521'!$K$1</c:f>
              <c:strCache>
                <c:ptCount val="1"/>
                <c:pt idx="0">
                  <c:v>d with phase corr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'LCVR 521'!$G$2:$G$113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521'!$K$2:$K$113</c:f>
              <c:numCache>
                <c:formatCode>General</c:formatCode>
                <c:ptCount val="112"/>
                <c:pt idx="0">
                  <c:v>4.8513286811084555</c:v>
                </c:pt>
                <c:pt idx="1">
                  <c:v>4.8509644149718021</c:v>
                </c:pt>
                <c:pt idx="2">
                  <c:v>4.8509644149718021</c:v>
                </c:pt>
                <c:pt idx="3">
                  <c:v>4.8505998621552937</c:v>
                </c:pt>
                <c:pt idx="4">
                  <c:v>4.8490256085048289</c:v>
                </c:pt>
                <c:pt idx="5">
                  <c:v>4.8481821273590597</c:v>
                </c:pt>
                <c:pt idx="6">
                  <c:v>4.8458741591828325</c:v>
                </c:pt>
                <c:pt idx="7">
                  <c:v>4.8438225835885804</c:v>
                </c:pt>
                <c:pt idx="8">
                  <c:v>4.8409034918230684</c:v>
                </c:pt>
                <c:pt idx="9">
                  <c:v>4.839357380572392</c:v>
                </c:pt>
                <c:pt idx="10">
                  <c:v>4.8316927693823155</c:v>
                </c:pt>
                <c:pt idx="11">
                  <c:v>4.8227049328737515</c:v>
                </c:pt>
                <c:pt idx="12">
                  <c:v>4.8073311066402304</c:v>
                </c:pt>
                <c:pt idx="13">
                  <c:v>4.7793885045037268</c:v>
                </c:pt>
                <c:pt idx="14">
                  <c:v>4.7430115888742534</c:v>
                </c:pt>
                <c:pt idx="15">
                  <c:v>4.6889856755041315</c:v>
                </c:pt>
                <c:pt idx="16">
                  <c:v>4.6084558131876809</c:v>
                </c:pt>
                <c:pt idx="17">
                  <c:v>4.5143360892279407</c:v>
                </c:pt>
                <c:pt idx="18">
                  <c:v>4.3969232855677021</c:v>
                </c:pt>
                <c:pt idx="19">
                  <c:v>4.2680399128603277</c:v>
                </c:pt>
                <c:pt idx="20">
                  <c:v>4.1408410790681183</c:v>
                </c:pt>
                <c:pt idx="21">
                  <c:v>4.0125315755046147</c:v>
                </c:pt>
                <c:pt idx="22">
                  <c:v>3.8640341875257063</c:v>
                </c:pt>
                <c:pt idx="23">
                  <c:v>3.7555854045144059</c:v>
                </c:pt>
                <c:pt idx="24">
                  <c:v>3.6744621554151773</c:v>
                </c:pt>
                <c:pt idx="25">
                  <c:v>3.5412444458610937</c:v>
                </c:pt>
                <c:pt idx="26">
                  <c:v>3.4290129186492635</c:v>
                </c:pt>
                <c:pt idx="27">
                  <c:v>3.3675617783471194</c:v>
                </c:pt>
                <c:pt idx="28">
                  <c:v>3.1415926535897931</c:v>
                </c:pt>
                <c:pt idx="29">
                  <c:v>3.276514514859568</c:v>
                </c:pt>
                <c:pt idx="30">
                  <c:v>3.4937084491682566</c:v>
                </c:pt>
                <c:pt idx="31">
                  <c:v>3.5693814003486031</c:v>
                </c:pt>
                <c:pt idx="32">
                  <c:v>3.6530313374279069</c:v>
                </c:pt>
                <c:pt idx="33">
                  <c:v>3.7368787204958984</c:v>
                </c:pt>
                <c:pt idx="34">
                  <c:v>3.8295001357934888</c:v>
                </c:pt>
                <c:pt idx="35">
                  <c:v>3.9241698665520044</c:v>
                </c:pt>
                <c:pt idx="36">
                  <c:v>4.0100545138686181</c:v>
                </c:pt>
                <c:pt idx="37">
                  <c:v>4.0928828323125845</c:v>
                </c:pt>
                <c:pt idx="38">
                  <c:v>4.1677587856555478</c:v>
                </c:pt>
                <c:pt idx="39">
                  <c:v>4.2533230010188028</c:v>
                </c:pt>
                <c:pt idx="40">
                  <c:v>4.3234243571111017</c:v>
                </c:pt>
                <c:pt idx="41">
                  <c:v>4.3885522521971483</c:v>
                </c:pt>
                <c:pt idx="42">
                  <c:v>4.4593162290218356</c:v>
                </c:pt>
                <c:pt idx="43">
                  <c:v>4.5216877497715195</c:v>
                </c:pt>
                <c:pt idx="44">
                  <c:v>4.5824538748813364</c:v>
                </c:pt>
                <c:pt idx="45">
                  <c:v>4.6370585917829654</c:v>
                </c:pt>
                <c:pt idx="46">
                  <c:v>4.6901082686699</c:v>
                </c:pt>
                <c:pt idx="47">
                  <c:v>4.7390712879866674</c:v>
                </c:pt>
                <c:pt idx="48">
                  <c:v>4.7855105586491549</c:v>
                </c:pt>
                <c:pt idx="49">
                  <c:v>4.8242424206970727</c:v>
                </c:pt>
                <c:pt idx="50">
                  <c:v>4.8680124142013526</c:v>
                </c:pt>
                <c:pt idx="51">
                  <c:v>4.9123927676666721</c:v>
                </c:pt>
                <c:pt idx="52">
                  <c:v>4.9534861192894688</c:v>
                </c:pt>
                <c:pt idx="53">
                  <c:v>4.9807201373808159</c:v>
                </c:pt>
                <c:pt idx="54">
                  <c:v>5.0191362629484804</c:v>
                </c:pt>
                <c:pt idx="55">
                  <c:v>5.0456812251179031</c:v>
                </c:pt>
                <c:pt idx="56">
                  <c:v>5.0760301063084974</c:v>
                </c:pt>
                <c:pt idx="57">
                  <c:v>5.1148397333322047</c:v>
                </c:pt>
                <c:pt idx="58">
                  <c:v>5.1405123333441303</c:v>
                </c:pt>
                <c:pt idx="59">
                  <c:v>5.1675673365066421</c:v>
                </c:pt>
                <c:pt idx="60">
                  <c:v>5.1950937099386376</c:v>
                </c:pt>
                <c:pt idx="61">
                  <c:v>5.2159759378698745</c:v>
                </c:pt>
                <c:pt idx="62">
                  <c:v>5.2374820300432221</c:v>
                </c:pt>
                <c:pt idx="63">
                  <c:v>5.2610762553056389</c:v>
                </c:pt>
                <c:pt idx="64">
                  <c:v>5.2798401210257486</c:v>
                </c:pt>
                <c:pt idx="65">
                  <c:v>5.2985943294576003</c:v>
                </c:pt>
                <c:pt idx="66">
                  <c:v>5.3124144229539922</c:v>
                </c:pt>
                <c:pt idx="67">
                  <c:v>5.3290811084939946</c:v>
                </c:pt>
                <c:pt idx="68">
                  <c:v>5.3473125095300817</c:v>
                </c:pt>
                <c:pt idx="69">
                  <c:v>5.3661961508714402</c:v>
                </c:pt>
                <c:pt idx="70">
                  <c:v>5.3793731291832332</c:v>
                </c:pt>
                <c:pt idx="71">
                  <c:v>5.3957632753544296</c:v>
                </c:pt>
                <c:pt idx="72">
                  <c:v>5.410186780948381</c:v>
                </c:pt>
                <c:pt idx="73">
                  <c:v>5.4251893040835188</c:v>
                </c:pt>
                <c:pt idx="74">
                  <c:v>5.4399683069891607</c:v>
                </c:pt>
                <c:pt idx="75">
                  <c:v>5.4529049377879435</c:v>
                </c:pt>
                <c:pt idx="76">
                  <c:v>5.4661921907860398</c:v>
                </c:pt>
                <c:pt idx="77">
                  <c:v>5.4779559257561088</c:v>
                </c:pt>
                <c:pt idx="78">
                  <c:v>5.4908876655738101</c:v>
                </c:pt>
                <c:pt idx="79">
                  <c:v>5.5043247721234048</c:v>
                </c:pt>
                <c:pt idx="80">
                  <c:v>5.52587557142758</c:v>
                </c:pt>
                <c:pt idx="81">
                  <c:v>5.5472239088604907</c:v>
                </c:pt>
                <c:pt idx="82">
                  <c:v>5.5674076310897602</c:v>
                </c:pt>
                <c:pt idx="83">
                  <c:v>5.5838102398641611</c:v>
                </c:pt>
                <c:pt idx="84">
                  <c:v>5.6018536785845088</c:v>
                </c:pt>
                <c:pt idx="85">
                  <c:v>5.6186375772591504</c:v>
                </c:pt>
                <c:pt idx="86">
                  <c:v>5.6344775603926518</c:v>
                </c:pt>
                <c:pt idx="87">
                  <c:v>5.6510883882527692</c:v>
                </c:pt>
                <c:pt idx="88">
                  <c:v>5.6656762620177119</c:v>
                </c:pt>
                <c:pt idx="89">
                  <c:v>5.6781566438271396</c:v>
                </c:pt>
                <c:pt idx="90">
                  <c:v>5.7096193312484314</c:v>
                </c:pt>
                <c:pt idx="91">
                  <c:v>5.7382857065491146</c:v>
                </c:pt>
                <c:pt idx="92">
                  <c:v>5.76379972642009</c:v>
                </c:pt>
                <c:pt idx="93">
                  <c:v>5.7881030791058556</c:v>
                </c:pt>
                <c:pt idx="94">
                  <c:v>5.8089331466740814</c:v>
                </c:pt>
                <c:pt idx="95">
                  <c:v>5.8276838719761397</c:v>
                </c:pt>
                <c:pt idx="96">
                  <c:v>5.8463565104149158</c:v>
                </c:pt>
                <c:pt idx="97">
                  <c:v>5.863985420836622</c:v>
                </c:pt>
                <c:pt idx="98">
                  <c:v>5.8794018601823925</c:v>
                </c:pt>
                <c:pt idx="99">
                  <c:v>5.8935934949261828</c:v>
                </c:pt>
                <c:pt idx="100">
                  <c:v>5.9065520638054112</c:v>
                </c:pt>
                <c:pt idx="101">
                  <c:v>5.9199615051826839</c:v>
                </c:pt>
                <c:pt idx="102">
                  <c:v>5.9304784220372611</c:v>
                </c:pt>
                <c:pt idx="103">
                  <c:v>5.9407791730416957</c:v>
                </c:pt>
                <c:pt idx="104">
                  <c:v>5.952157265212497</c:v>
                </c:pt>
                <c:pt idx="105">
                  <c:v>5.9617427384525579</c:v>
                </c:pt>
                <c:pt idx="106">
                  <c:v>5.9693518669811176</c:v>
                </c:pt>
                <c:pt idx="107">
                  <c:v>5.9792651831540846</c:v>
                </c:pt>
                <c:pt idx="108">
                  <c:v>5.9875419898550835</c:v>
                </c:pt>
                <c:pt idx="109">
                  <c:v>5.9939002824140308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F0-4639-A89F-187E12D8A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013792"/>
        <c:axId val="506021240"/>
      </c:scatterChart>
      <c:valAx>
        <c:axId val="50601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21240"/>
        <c:crosses val="autoZero"/>
        <c:crossBetween val="midCat"/>
      </c:valAx>
      <c:valAx>
        <c:axId val="50602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1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407, 451, 532, 521, 654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633</a:t>
            </a:r>
            <a:r>
              <a:rPr lang="en-US" baseline="0"/>
              <a:t> will most likely neary overlap 654</a:t>
            </a:r>
            <a:endParaRPr lang="en-US"/>
          </a:p>
        </c:rich>
      </c:tx>
      <c:layout>
        <c:manualLayout>
          <c:xMode val="edge"/>
          <c:yMode val="edge"/>
          <c:x val="0.31538867956190786"/>
          <c:y val="0.12691012691012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885337759353511E-2"/>
          <c:y val="8.5936285936285939E-2"/>
          <c:w val="0.89800344012942435"/>
          <c:h val="0.799059033704703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'LCVR 521'!$P$1</c:f>
              <c:strCache>
                <c:ptCount val="1"/>
                <c:pt idx="0">
                  <c:v>retardance (waves)</c:v>
                </c:pt>
              </c:strCache>
            </c:strRef>
          </c:tx>
          <c:spPr>
            <a:ln>
              <a:solidFill>
                <a:srgbClr val="38E68B"/>
              </a:solidFill>
            </a:ln>
          </c:spPr>
          <c:marker>
            <c:symbol val="none"/>
          </c:marker>
          <c:xVal>
            <c:numRef>
              <c:f>'LCVR 521'!$O$2:$O$113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2.5455844122715678</c:v>
                </c:pt>
                <c:pt idx="71">
                  <c:v>2.6162950903902225</c:v>
                </c:pt>
                <c:pt idx="72">
                  <c:v>2.6870057685088775</c:v>
                </c:pt>
                <c:pt idx="73">
                  <c:v>2.7577164466275321</c:v>
                </c:pt>
                <c:pt idx="74">
                  <c:v>2.8284271247461872</c:v>
                </c:pt>
                <c:pt idx="75">
                  <c:v>2.8991378028648418</c:v>
                </c:pt>
                <c:pt idx="76">
                  <c:v>2.9698484809834964</c:v>
                </c:pt>
                <c:pt idx="77">
                  <c:v>3.040559159102151</c:v>
                </c:pt>
                <c:pt idx="78">
                  <c:v>3.1112698372208052</c:v>
                </c:pt>
                <c:pt idx="79">
                  <c:v>3.1819805153394598</c:v>
                </c:pt>
                <c:pt idx="80">
                  <c:v>3.2526911934581144</c:v>
                </c:pt>
                <c:pt idx="81">
                  <c:v>3.323401871576769</c:v>
                </c:pt>
                <c:pt idx="82">
                  <c:v>3.3941125496954232</c:v>
                </c:pt>
                <c:pt idx="83">
                  <c:v>3.4648232278140778</c:v>
                </c:pt>
                <c:pt idx="84">
                  <c:v>3.5355339059327324</c:v>
                </c:pt>
                <c:pt idx="85">
                  <c:v>3.7123106012293694</c:v>
                </c:pt>
                <c:pt idx="86">
                  <c:v>3.8890872965260059</c:v>
                </c:pt>
                <c:pt idx="87">
                  <c:v>4.0658639918226429</c:v>
                </c:pt>
                <c:pt idx="88">
                  <c:v>4.2426406871192794</c:v>
                </c:pt>
                <c:pt idx="89">
                  <c:v>4.4194173824159169</c:v>
                </c:pt>
                <c:pt idx="90">
                  <c:v>4.5961940777125534</c:v>
                </c:pt>
                <c:pt idx="91">
                  <c:v>4.7729707730091908</c:v>
                </c:pt>
                <c:pt idx="92">
                  <c:v>4.9497474683058273</c:v>
                </c:pt>
                <c:pt idx="93">
                  <c:v>5.1265241636024639</c:v>
                </c:pt>
                <c:pt idx="94">
                  <c:v>5.3033008588991013</c:v>
                </c:pt>
                <c:pt idx="95">
                  <c:v>5.4800775541957378</c:v>
                </c:pt>
                <c:pt idx="96">
                  <c:v>5.6568542494923744</c:v>
                </c:pt>
                <c:pt idx="97">
                  <c:v>5.8336309447890118</c:v>
                </c:pt>
                <c:pt idx="98">
                  <c:v>6.0104076400856483</c:v>
                </c:pt>
                <c:pt idx="99">
                  <c:v>6.1871843353822857</c:v>
                </c:pt>
                <c:pt idx="100">
                  <c:v>6.3639610306789223</c:v>
                </c:pt>
                <c:pt idx="101">
                  <c:v>6.5407377259755588</c:v>
                </c:pt>
                <c:pt idx="102">
                  <c:v>6.7175144212721962</c:v>
                </c:pt>
                <c:pt idx="103">
                  <c:v>6.8942911165688328</c:v>
                </c:pt>
                <c:pt idx="104">
                  <c:v>7.0710678118654702</c:v>
                </c:pt>
              </c:numCache>
            </c:numRef>
          </c:xVal>
          <c:yVal>
            <c:numRef>
              <c:f>'LCVR 521'!$P$2:$P$113</c:f>
              <c:numCache>
                <c:formatCode>General</c:formatCode>
                <c:ptCount val="112"/>
                <c:pt idx="0">
                  <c:v>0.77211294016189591</c:v>
                </c:pt>
                <c:pt idx="1">
                  <c:v>0.77205496540564655</c:v>
                </c:pt>
                <c:pt idx="2">
                  <c:v>0.77205496540564655</c:v>
                </c:pt>
                <c:pt idx="3">
                  <c:v>0.77199694502288119</c:v>
                </c:pt>
                <c:pt idx="4">
                  <c:v>0.77174639477272922</c:v>
                </c:pt>
                <c:pt idx="5">
                  <c:v>0.77161215057897525</c:v>
                </c:pt>
                <c:pt idx="6">
                  <c:v>0.77124482603522992</c:v>
                </c:pt>
                <c:pt idx="7">
                  <c:v>0.77091830763827796</c:v>
                </c:pt>
                <c:pt idx="8">
                  <c:v>0.77045371975445787</c:v>
                </c:pt>
                <c:pt idx="9">
                  <c:v>0.77020764850634271</c:v>
                </c:pt>
                <c:pt idx="10">
                  <c:v>0.76898778774856458</c:v>
                </c:pt>
                <c:pt idx="11">
                  <c:v>0.76755732914052488</c:v>
                </c:pt>
                <c:pt idx="12">
                  <c:v>0.7651105087012241</c:v>
                </c:pt>
                <c:pt idx="13">
                  <c:v>0.76066330544834937</c:v>
                </c:pt>
                <c:pt idx="14">
                  <c:v>0.75487373951148196</c:v>
                </c:pt>
                <c:pt idx="15">
                  <c:v>0.74627524834357251</c:v>
                </c:pt>
                <c:pt idx="16">
                  <c:v>0.73345852268939959</c:v>
                </c:pt>
                <c:pt idx="17">
                  <c:v>0.7184789033787623</c:v>
                </c:pt>
                <c:pt idx="18">
                  <c:v>0.69979207529395715</c:v>
                </c:pt>
                <c:pt idx="19">
                  <c:v>0.67927964944522345</c:v>
                </c:pt>
                <c:pt idx="20">
                  <c:v>0.65903532629166883</c:v>
                </c:pt>
                <c:pt idx="21">
                  <c:v>0.63861423455387012</c:v>
                </c:pt>
                <c:pt idx="22">
                  <c:v>0.61498014122079181</c:v>
                </c:pt>
                <c:pt idx="23">
                  <c:v>0.59771998133224302</c:v>
                </c:pt>
                <c:pt idx="24">
                  <c:v>0.58480881523842565</c:v>
                </c:pt>
                <c:pt idx="25">
                  <c:v>0.56360655825551287</c:v>
                </c:pt>
                <c:pt idx="26">
                  <c:v>0.5457443559289975</c:v>
                </c:pt>
                <c:pt idx="27">
                  <c:v>0.53596410319127763</c:v>
                </c:pt>
                <c:pt idx="28">
                  <c:v>0.5</c:v>
                </c:pt>
                <c:pt idx="29">
                  <c:v>0.52147348115224357</c:v>
                </c:pt>
                <c:pt idx="30">
                  <c:v>0.55604096940704784</c:v>
                </c:pt>
                <c:pt idx="31">
                  <c:v>0.56808469364575165</c:v>
                </c:pt>
                <c:pt idx="32">
                  <c:v>0.58139799462124886</c:v>
                </c:pt>
                <c:pt idx="33">
                  <c:v>0.59474272010183937</c:v>
                </c:pt>
                <c:pt idx="34">
                  <c:v>0.60948387618261823</c:v>
                </c:pt>
                <c:pt idx="35">
                  <c:v>0.62455103179401483</c:v>
                </c:pt>
                <c:pt idx="36">
                  <c:v>0.63821999795015794</c:v>
                </c:pt>
                <c:pt idx="37">
                  <c:v>0.65140253425850481</c:v>
                </c:pt>
                <c:pt idx="38">
                  <c:v>0.66331941235175551</c:v>
                </c:pt>
                <c:pt idx="39">
                  <c:v>0.67693738017859706</c:v>
                </c:pt>
                <c:pt idx="40">
                  <c:v>0.68809435751813164</c:v>
                </c:pt>
                <c:pt idx="41">
                  <c:v>0.69845978395424624</c:v>
                </c:pt>
                <c:pt idx="42">
                  <c:v>0.70972222065873558</c:v>
                </c:pt>
                <c:pt idx="43">
                  <c:v>0.71964895649420646</c:v>
                </c:pt>
                <c:pt idx="44">
                  <c:v>0.72932018567797441</c:v>
                </c:pt>
                <c:pt idx="45">
                  <c:v>0.73801079628900224</c:v>
                </c:pt>
                <c:pt idx="46">
                  <c:v>0.74645391459498578</c:v>
                </c:pt>
                <c:pt idx="47">
                  <c:v>0.75424662114795327</c:v>
                </c:pt>
                <c:pt idx="48">
                  <c:v>0.76163766062747051</c:v>
                </c:pt>
                <c:pt idx="49">
                  <c:v>0.76780202792755003</c:v>
                </c:pt>
                <c:pt idx="50">
                  <c:v>0.77476823875285628</c:v>
                </c:pt>
                <c:pt idx="51">
                  <c:v>0.78183159138302749</c:v>
                </c:pt>
                <c:pt idx="52">
                  <c:v>0.78837180142200891</c:v>
                </c:pt>
                <c:pt idx="53">
                  <c:v>0.79270623002150087</c:v>
                </c:pt>
                <c:pt idx="54">
                  <c:v>0.79882034630003362</c:v>
                </c:pt>
                <c:pt idx="55">
                  <c:v>0.80304510824348463</c:v>
                </c:pt>
                <c:pt idx="56">
                  <c:v>0.80787528270227638</c:v>
                </c:pt>
                <c:pt idx="57">
                  <c:v>0.8140520266826522</c:v>
                </c:pt>
                <c:pt idx="58">
                  <c:v>0.81813794787657124</c:v>
                </c:pt>
                <c:pt idx="59">
                  <c:v>0.82244388536525181</c:v>
                </c:pt>
                <c:pt idx="60">
                  <c:v>0.82682484376234733</c:v>
                </c:pt>
                <c:pt idx="61">
                  <c:v>0.83014835356037531</c:v>
                </c:pt>
                <c:pt idx="62">
                  <c:v>0.83357115443635355</c:v>
                </c:pt>
                <c:pt idx="63">
                  <c:v>0.83732629201529085</c:v>
                </c:pt>
                <c:pt idx="64">
                  <c:v>0.84031265399615884</c:v>
                </c:pt>
                <c:pt idx="65">
                  <c:v>0.84329747897186369</c:v>
                </c:pt>
                <c:pt idx="66">
                  <c:v>0.84549701516580666</c:v>
                </c:pt>
                <c:pt idx="67">
                  <c:v>0.84814960055445632</c:v>
                </c:pt>
                <c:pt idx="68">
                  <c:v>0.85105121814884022</c:v>
                </c:pt>
                <c:pt idx="69">
                  <c:v>0.85405664301189188</c:v>
                </c:pt>
                <c:pt idx="70">
                  <c:v>0.85615382424522846</c:v>
                </c:pt>
                <c:pt idx="71">
                  <c:v>0.85876239702637303</c:v>
                </c:pt>
                <c:pt idx="72">
                  <c:v>0.86105796923836408</c:v>
                </c:pt>
                <c:pt idx="73">
                  <c:v>0.86344569495417178</c:v>
                </c:pt>
                <c:pt idx="74">
                  <c:v>0.8657978463205741</c:v>
                </c:pt>
                <c:pt idx="75">
                  <c:v>0.86785677505915526</c:v>
                </c:pt>
                <c:pt idx="76">
                  <c:v>0.86997150705391491</c:v>
                </c:pt>
                <c:pt idx="77">
                  <c:v>0.87184376362362437</c:v>
                </c:pt>
                <c:pt idx="78">
                  <c:v>0.87390191393838978</c:v>
                </c:pt>
                <c:pt idx="79">
                  <c:v>0.87604049586661026</c:v>
                </c:pt>
                <c:pt idx="80">
                  <c:v>0.87947041210345112</c:v>
                </c:pt>
                <c:pt idx="81">
                  <c:v>0.88286810553269257</c:v>
                </c:pt>
                <c:pt idx="82">
                  <c:v>0.88608044469547464</c:v>
                </c:pt>
                <c:pt idx="83">
                  <c:v>0.88869100096152309</c:v>
                </c:pt>
                <c:pt idx="84">
                  <c:v>0.89156270342424204</c:v>
                </c:pt>
                <c:pt idx="85">
                  <c:v>0.89423394386266475</c:v>
                </c:pt>
                <c:pt idx="86">
                  <c:v>0.8967549554768538</c:v>
                </c:pt>
                <c:pt idx="87">
                  <c:v>0.89939865083963999</c:v>
                </c:pt>
                <c:pt idx="88">
                  <c:v>0.90172038305853131</c:v>
                </c:pt>
                <c:pt idx="89">
                  <c:v>0.90370669751517585</c:v>
                </c:pt>
                <c:pt idx="90">
                  <c:v>0.90871413974122961</c:v>
                </c:pt>
                <c:pt idx="91">
                  <c:v>0.91327653507086082</c:v>
                </c:pt>
                <c:pt idx="92">
                  <c:v>0.91733721745147134</c:v>
                </c:pt>
                <c:pt idx="93">
                  <c:v>0.92120521616511664</c:v>
                </c:pt>
                <c:pt idx="94">
                  <c:v>0.92452042438353799</c:v>
                </c:pt>
                <c:pt idx="95">
                  <c:v>0.92750469500191879</c:v>
                </c:pt>
                <c:pt idx="96">
                  <c:v>0.9304765377100177</c:v>
                </c:pt>
                <c:pt idx="97">
                  <c:v>0.93328226594495656</c:v>
                </c:pt>
                <c:pt idx="98">
                  <c:v>0.93573586847171231</c:v>
                </c:pt>
                <c:pt idx="99">
                  <c:v>0.9379945372917412</c:v>
                </c:pt>
                <c:pt idx="100">
                  <c:v>0.94005695758426722</c:v>
                </c:pt>
                <c:pt idx="101">
                  <c:v>0.94219113646356112</c:v>
                </c:pt>
                <c:pt idx="102">
                  <c:v>0.94386495576705354</c:v>
                </c:pt>
                <c:pt idx="103">
                  <c:v>0.94550437120696817</c:v>
                </c:pt>
                <c:pt idx="104">
                  <c:v>0.94731525081890633</c:v>
                </c:pt>
                <c:pt idx="105">
                  <c:v>0.94884082626693711</c:v>
                </c:pt>
                <c:pt idx="106">
                  <c:v>0.95005185668487901</c:v>
                </c:pt>
                <c:pt idx="107">
                  <c:v>0.95162960995623946</c:v>
                </c:pt>
                <c:pt idx="108">
                  <c:v>0.95294690465571963</c:v>
                </c:pt>
                <c:pt idx="109">
                  <c:v>0.9539588583461005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0A0-4612-8CCF-F4038B095CB8}"/>
            </c:ext>
          </c:extLst>
        </c:ser>
        <c:ser>
          <c:idx val="2"/>
          <c:order val="1"/>
          <c:tx>
            <c:strRef>
              <c:f>'LCVR 451'!$P$1</c:f>
              <c:strCache>
                <c:ptCount val="1"/>
                <c:pt idx="0">
                  <c:v>retardance (waves)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'LCVR 451'!$O$2:$O$113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2.5455844122715678</c:v>
                </c:pt>
                <c:pt idx="71">
                  <c:v>2.6162950903902225</c:v>
                </c:pt>
                <c:pt idx="72">
                  <c:v>2.6870057685088775</c:v>
                </c:pt>
                <c:pt idx="73">
                  <c:v>2.7577164466275321</c:v>
                </c:pt>
                <c:pt idx="74">
                  <c:v>2.8284271247461872</c:v>
                </c:pt>
                <c:pt idx="75">
                  <c:v>2.8991378028648418</c:v>
                </c:pt>
                <c:pt idx="76">
                  <c:v>2.9698484809834964</c:v>
                </c:pt>
                <c:pt idx="77">
                  <c:v>3.040559159102151</c:v>
                </c:pt>
                <c:pt idx="78">
                  <c:v>3.1112698372208052</c:v>
                </c:pt>
                <c:pt idx="79">
                  <c:v>3.1819805153394598</c:v>
                </c:pt>
                <c:pt idx="80">
                  <c:v>3.2526911934581144</c:v>
                </c:pt>
                <c:pt idx="81">
                  <c:v>3.323401871576769</c:v>
                </c:pt>
                <c:pt idx="82">
                  <c:v>3.3941125496954232</c:v>
                </c:pt>
                <c:pt idx="83">
                  <c:v>3.4648232278140778</c:v>
                </c:pt>
                <c:pt idx="84">
                  <c:v>3.5355339059327324</c:v>
                </c:pt>
                <c:pt idx="85">
                  <c:v>3.7123106012293694</c:v>
                </c:pt>
                <c:pt idx="86">
                  <c:v>3.8890872965260059</c:v>
                </c:pt>
                <c:pt idx="87">
                  <c:v>4.0658639918226429</c:v>
                </c:pt>
                <c:pt idx="88">
                  <c:v>4.2426406871192794</c:v>
                </c:pt>
                <c:pt idx="89">
                  <c:v>4.4194173824159169</c:v>
                </c:pt>
                <c:pt idx="90">
                  <c:v>4.5961940777125534</c:v>
                </c:pt>
                <c:pt idx="91">
                  <c:v>4.7729707730091908</c:v>
                </c:pt>
                <c:pt idx="92">
                  <c:v>4.9497474683058273</c:v>
                </c:pt>
                <c:pt idx="93">
                  <c:v>5.1265241636024639</c:v>
                </c:pt>
                <c:pt idx="94">
                  <c:v>5.3033008588991013</c:v>
                </c:pt>
                <c:pt idx="95">
                  <c:v>5.4800775541957378</c:v>
                </c:pt>
                <c:pt idx="96">
                  <c:v>5.6568542494923744</c:v>
                </c:pt>
                <c:pt idx="97">
                  <c:v>5.8336309447890118</c:v>
                </c:pt>
                <c:pt idx="98">
                  <c:v>6.0104076400856483</c:v>
                </c:pt>
                <c:pt idx="99">
                  <c:v>6.1871843353822857</c:v>
                </c:pt>
                <c:pt idx="100">
                  <c:v>6.3639610306789223</c:v>
                </c:pt>
                <c:pt idx="101">
                  <c:v>6.5407377259755588</c:v>
                </c:pt>
                <c:pt idx="102">
                  <c:v>6.7175144212721962</c:v>
                </c:pt>
                <c:pt idx="103">
                  <c:v>6.8942911165688328</c:v>
                </c:pt>
                <c:pt idx="104">
                  <c:v>7.0710678118654702</c:v>
                </c:pt>
              </c:numCache>
            </c:numRef>
          </c:xVal>
          <c:yVal>
            <c:numRef>
              <c:f>'LCVR 451'!$P$2:$P$113</c:f>
              <c:numCache>
                <c:formatCode>General</c:formatCode>
                <c:ptCount val="112"/>
                <c:pt idx="0">
                  <c:v>1.211733270657354</c:v>
                </c:pt>
                <c:pt idx="1">
                  <c:v>1.2117939630207624</c:v>
                </c:pt>
                <c:pt idx="2">
                  <c:v>1.2114675498096028</c:v>
                </c:pt>
                <c:pt idx="3">
                  <c:v>1.2113983884643091</c:v>
                </c:pt>
                <c:pt idx="4">
                  <c:v>1.2111995638654032</c:v>
                </c:pt>
                <c:pt idx="5">
                  <c:v>1.2113273103231184</c:v>
                </c:pt>
                <c:pt idx="6">
                  <c:v>1.2107357315102356</c:v>
                </c:pt>
                <c:pt idx="7">
                  <c:v>1.2106000846130887</c:v>
                </c:pt>
                <c:pt idx="8">
                  <c:v>1.2098107601256649</c:v>
                </c:pt>
                <c:pt idx="9">
                  <c:v>1.2092161564442292</c:v>
                </c:pt>
                <c:pt idx="10">
                  <c:v>1.2080286999429055</c:v>
                </c:pt>
                <c:pt idx="11">
                  <c:v>1.2061198142024034</c:v>
                </c:pt>
                <c:pt idx="12">
                  <c:v>1.2032179700914338</c:v>
                </c:pt>
                <c:pt idx="13">
                  <c:v>1.1982081105208178</c:v>
                </c:pt>
                <c:pt idx="14">
                  <c:v>1.1892155586245079</c:v>
                </c:pt>
                <c:pt idx="15">
                  <c:v>1.1747632260429399</c:v>
                </c:pt>
                <c:pt idx="16">
                  <c:v>1.1548460702144148</c:v>
                </c:pt>
                <c:pt idx="17">
                  <c:v>1.1302736415299228</c:v>
                </c:pt>
                <c:pt idx="18">
                  <c:v>1.1025840896063659</c:v>
                </c:pt>
                <c:pt idx="19">
                  <c:v>1.0726335631497237</c:v>
                </c:pt>
                <c:pt idx="20">
                  <c:v>1.0411541598233351</c:v>
                </c:pt>
                <c:pt idx="21">
                  <c:v>1.0090031755585076</c:v>
                </c:pt>
                <c:pt idx="22">
                  <c:v>0.97897983056325355</c:v>
                </c:pt>
                <c:pt idx="23">
                  <c:v>0.97529640388142735</c:v>
                </c:pt>
                <c:pt idx="24">
                  <c:v>0.94355562383224134</c:v>
                </c:pt>
                <c:pt idx="25">
                  <c:v>0.9099223902832928</c:v>
                </c:pt>
                <c:pt idx="26">
                  <c:v>0.87668703313435425</c:v>
                </c:pt>
                <c:pt idx="27">
                  <c:v>0.84413166658916494</c:v>
                </c:pt>
                <c:pt idx="28">
                  <c:v>0.8129543104828405</c:v>
                </c:pt>
                <c:pt idx="29">
                  <c:v>0.78295807675121643</c:v>
                </c:pt>
                <c:pt idx="30">
                  <c:v>0.75439516810319684</c:v>
                </c:pt>
                <c:pt idx="31">
                  <c:v>0.72686621368781856</c:v>
                </c:pt>
                <c:pt idx="32">
                  <c:v>0.70062105373131689</c:v>
                </c:pt>
                <c:pt idx="33">
                  <c:v>0.67536451014784038</c:v>
                </c:pt>
                <c:pt idx="34">
                  <c:v>0.65114385723195856</c:v>
                </c:pt>
                <c:pt idx="35">
                  <c:v>0.62751644900127024</c:v>
                </c:pt>
                <c:pt idx="36">
                  <c:v>0.60494869891081793</c:v>
                </c:pt>
                <c:pt idx="37">
                  <c:v>0.58284234892254083</c:v>
                </c:pt>
                <c:pt idx="38">
                  <c:v>0.56192607280616058</c:v>
                </c:pt>
                <c:pt idx="39">
                  <c:v>0.54139439365483333</c:v>
                </c:pt>
                <c:pt idx="40">
                  <c:v>0.52137452372773152</c:v>
                </c:pt>
                <c:pt idx="41">
                  <c:v>0.5</c:v>
                </c:pt>
                <c:pt idx="42">
                  <c:v>0.48766417717570398</c:v>
                </c:pt>
                <c:pt idx="43">
                  <c:v>0.47016253356822224</c:v>
                </c:pt>
                <c:pt idx="44">
                  <c:v>0.45297669606673341</c:v>
                </c:pt>
                <c:pt idx="45">
                  <c:v>0.438191043574922</c:v>
                </c:pt>
                <c:pt idx="46">
                  <c:v>0.42335612966741082</c:v>
                </c:pt>
                <c:pt idx="47">
                  <c:v>0.40930948053684574</c:v>
                </c:pt>
                <c:pt idx="48">
                  <c:v>0.39657213257415658</c:v>
                </c:pt>
                <c:pt idx="49">
                  <c:v>0.3842628447017466</c:v>
                </c:pt>
                <c:pt idx="50">
                  <c:v>0.37249743569639565</c:v>
                </c:pt>
                <c:pt idx="51">
                  <c:v>0.36124102606301961</c:v>
                </c:pt>
                <c:pt idx="52">
                  <c:v>0.35083406453075416</c:v>
                </c:pt>
                <c:pt idx="53">
                  <c:v>0.34078416238330062</c:v>
                </c:pt>
                <c:pt idx="54">
                  <c:v>0.33145600015469151</c:v>
                </c:pt>
                <c:pt idx="55">
                  <c:v>0.32255140518086839</c:v>
                </c:pt>
                <c:pt idx="56">
                  <c:v>0.31413220205172898</c:v>
                </c:pt>
                <c:pt idx="57">
                  <c:v>0.30618254417723856</c:v>
                </c:pt>
                <c:pt idx="58">
                  <c:v>0.29858601386690331</c:v>
                </c:pt>
                <c:pt idx="59">
                  <c:v>0.29165313212664229</c:v>
                </c:pt>
                <c:pt idx="60">
                  <c:v>0.28474291143549413</c:v>
                </c:pt>
                <c:pt idx="61">
                  <c:v>0.27836687614741734</c:v>
                </c:pt>
                <c:pt idx="62">
                  <c:v>0.27229493504823005</c:v>
                </c:pt>
                <c:pt idx="63">
                  <c:v>0.26645639123729992</c:v>
                </c:pt>
                <c:pt idx="64">
                  <c:v>0.26090587960780415</c:v>
                </c:pt>
                <c:pt idx="65">
                  <c:v>0.25563849069548594</c:v>
                </c:pt>
                <c:pt idx="66">
                  <c:v>0.2506406891933467</c:v>
                </c:pt>
                <c:pt idx="67">
                  <c:v>0.2457208481224642</c:v>
                </c:pt>
                <c:pt idx="68">
                  <c:v>0.24111094163758642</c:v>
                </c:pt>
                <c:pt idx="69">
                  <c:v>0.23669538808751081</c:v>
                </c:pt>
                <c:pt idx="70">
                  <c:v>0.22839349430568778</c:v>
                </c:pt>
                <c:pt idx="71">
                  <c:v>0.22070113970437111</c:v>
                </c:pt>
                <c:pt idx="72">
                  <c:v>0.21362307999516239</c:v>
                </c:pt>
                <c:pt idx="73">
                  <c:v>0.20698239817046785</c:v>
                </c:pt>
                <c:pt idx="74">
                  <c:v>0.20072101853820423</c:v>
                </c:pt>
                <c:pt idx="75">
                  <c:v>0.19494701110943471</c:v>
                </c:pt>
                <c:pt idx="76">
                  <c:v>0.1894555956404933</c:v>
                </c:pt>
                <c:pt idx="77">
                  <c:v>0.18439695607772244</c:v>
                </c:pt>
                <c:pt idx="78">
                  <c:v>0.1795220425341863</c:v>
                </c:pt>
                <c:pt idx="79">
                  <c:v>0.17491735155122573</c:v>
                </c:pt>
                <c:pt idx="80">
                  <c:v>0.1706232832449438</c:v>
                </c:pt>
                <c:pt idx="81">
                  <c:v>0.16645963677558209</c:v>
                </c:pt>
                <c:pt idx="82">
                  <c:v>0.16266142238318854</c:v>
                </c:pt>
                <c:pt idx="83">
                  <c:v>0.15888620402647677</c:v>
                </c:pt>
                <c:pt idx="84">
                  <c:v>0.15532745581654325</c:v>
                </c:pt>
                <c:pt idx="85">
                  <c:v>0.14733426170681166</c:v>
                </c:pt>
                <c:pt idx="86">
                  <c:v>0.1401174715950543</c:v>
                </c:pt>
                <c:pt idx="87">
                  <c:v>0.1336640418317363</c:v>
                </c:pt>
                <c:pt idx="88">
                  <c:v>0.12771238115362921</c:v>
                </c:pt>
                <c:pt idx="89">
                  <c:v>0.12224118885103223</c:v>
                </c:pt>
                <c:pt idx="90">
                  <c:v>0.11714052331243388</c:v>
                </c:pt>
                <c:pt idx="91">
                  <c:v>0.11262347301555593</c:v>
                </c:pt>
                <c:pt idx="92">
                  <c:v>0.10832710067129585</c:v>
                </c:pt>
                <c:pt idx="93">
                  <c:v>0.10449822614128904</c:v>
                </c:pt>
                <c:pt idx="94">
                  <c:v>0.10083647999647129</c:v>
                </c:pt>
                <c:pt idx="95">
                  <c:v>9.7521235145171775E-2</c:v>
                </c:pt>
                <c:pt idx="96">
                  <c:v>9.434379774723109E-2</c:v>
                </c:pt>
                <c:pt idx="97">
                  <c:v>9.1419441930719145E-2</c:v>
                </c:pt>
                <c:pt idx="98">
                  <c:v>8.8682671343849481E-2</c:v>
                </c:pt>
                <c:pt idx="99">
                  <c:v>8.5997910769305311E-2</c:v>
                </c:pt>
                <c:pt idx="100">
                  <c:v>8.3502082010401407E-2</c:v>
                </c:pt>
                <c:pt idx="101">
                  <c:v>8.1330072818755636E-2</c:v>
                </c:pt>
                <c:pt idx="102">
                  <c:v>7.8981870439930726E-2</c:v>
                </c:pt>
                <c:pt idx="103">
                  <c:v>7.6871113729051671E-2</c:v>
                </c:pt>
                <c:pt idx="104">
                  <c:v>7.5145090551430108E-2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A0-4612-8CCF-F4038B095CB8}"/>
            </c:ext>
          </c:extLst>
        </c:ser>
        <c:ser>
          <c:idx val="3"/>
          <c:order val="2"/>
          <c:tx>
            <c:strRef>
              <c:f>Sheet1!$P$1</c:f>
              <c:strCache>
                <c:ptCount val="1"/>
                <c:pt idx="0">
                  <c:v>Retardance, d (waves)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Sheet1!$O$2:$O$113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2.8637824638055127</c:v>
                </c:pt>
                <c:pt idx="81">
                  <c:v>2.89913780286484</c:v>
                </c:pt>
                <c:pt idx="82">
                  <c:v>2.9344931419241673</c:v>
                </c:pt>
                <c:pt idx="83">
                  <c:v>2.9698484809834946</c:v>
                </c:pt>
                <c:pt idx="84">
                  <c:v>3.0052038200428219</c:v>
                </c:pt>
                <c:pt idx="85">
                  <c:v>3.0405591591021488</c:v>
                </c:pt>
                <c:pt idx="86">
                  <c:v>3.0759144981614761</c:v>
                </c:pt>
                <c:pt idx="87">
                  <c:v>3.1112698372208034</c:v>
                </c:pt>
                <c:pt idx="88">
                  <c:v>3.1466251762801307</c:v>
                </c:pt>
                <c:pt idx="89">
                  <c:v>3.181980515339458</c:v>
                </c:pt>
                <c:pt idx="90">
                  <c:v>3.358757210636095</c:v>
                </c:pt>
                <c:pt idx="91">
                  <c:v>3.5355339059327315</c:v>
                </c:pt>
                <c:pt idx="92">
                  <c:v>3.7123106012293685</c:v>
                </c:pt>
                <c:pt idx="93">
                  <c:v>3.8890872965260055</c:v>
                </c:pt>
                <c:pt idx="94">
                  <c:v>4.065863991822642</c:v>
                </c:pt>
                <c:pt idx="95">
                  <c:v>4.2426406871192794</c:v>
                </c:pt>
                <c:pt idx="96">
                  <c:v>4.419417382415916</c:v>
                </c:pt>
                <c:pt idx="97">
                  <c:v>4.5961940777125525</c:v>
                </c:pt>
                <c:pt idx="98">
                  <c:v>4.7729707730091899</c:v>
                </c:pt>
                <c:pt idx="99">
                  <c:v>4.9497474683058265</c:v>
                </c:pt>
                <c:pt idx="100">
                  <c:v>5.1265241636024639</c:v>
                </c:pt>
                <c:pt idx="101">
                  <c:v>5.3033008588991004</c:v>
                </c:pt>
                <c:pt idx="102">
                  <c:v>5.4800775541957369</c:v>
                </c:pt>
                <c:pt idx="103">
                  <c:v>5.6568542494923744</c:v>
                </c:pt>
                <c:pt idx="104">
                  <c:v>5.8336309447890118</c:v>
                </c:pt>
                <c:pt idx="105">
                  <c:v>6.0104076400856483</c:v>
                </c:pt>
                <c:pt idx="106">
                  <c:v>6.1871843353822857</c:v>
                </c:pt>
                <c:pt idx="107">
                  <c:v>6.3639610306789223</c:v>
                </c:pt>
                <c:pt idx="108">
                  <c:v>6.5407377259755588</c:v>
                </c:pt>
                <c:pt idx="109">
                  <c:v>6.7175144212721962</c:v>
                </c:pt>
                <c:pt idx="110">
                  <c:v>6.8942911165688381</c:v>
                </c:pt>
                <c:pt idx="111">
                  <c:v>7.0710678118654746</c:v>
                </c:pt>
              </c:numCache>
            </c:numRef>
          </c:xVal>
          <c:yVal>
            <c:numRef>
              <c:f>Sheet1!$P$2:$P$113</c:f>
              <c:numCache>
                <c:formatCode>General</c:formatCode>
                <c:ptCount val="112"/>
                <c:pt idx="0">
                  <c:v>1.4464880536675118</c:v>
                </c:pt>
                <c:pt idx="1">
                  <c:v>1.4464880536675118</c:v>
                </c:pt>
                <c:pt idx="2">
                  <c:v>1.4464880536675118</c:v>
                </c:pt>
                <c:pt idx="3">
                  <c:v>1.4464880536675118</c:v>
                </c:pt>
                <c:pt idx="4">
                  <c:v>1.4464880536675118</c:v>
                </c:pt>
                <c:pt idx="5">
                  <c:v>1.4464880536675118</c:v>
                </c:pt>
                <c:pt idx="6">
                  <c:v>1.4464880536675118</c:v>
                </c:pt>
                <c:pt idx="7">
                  <c:v>1.4458739770500169</c:v>
                </c:pt>
                <c:pt idx="8">
                  <c:v>1.4455587354353649</c:v>
                </c:pt>
                <c:pt idx="9">
                  <c:v>1.4445763451948221</c:v>
                </c:pt>
                <c:pt idx="10">
                  <c:v>1.4435305511531942</c:v>
                </c:pt>
                <c:pt idx="11">
                  <c:v>1.4416054113058954</c:v>
                </c:pt>
                <c:pt idx="12">
                  <c:v>1.4383019670950656</c:v>
                </c:pt>
                <c:pt idx="13">
                  <c:v>1.4330654548445667</c:v>
                </c:pt>
                <c:pt idx="14">
                  <c:v>1.4283966117162035</c:v>
                </c:pt>
                <c:pt idx="15">
                  <c:v>1.4187588105463451</c:v>
                </c:pt>
                <c:pt idx="16">
                  <c:v>1.3954625896436597</c:v>
                </c:pt>
                <c:pt idx="17">
                  <c:v>1.3661753369029699</c:v>
                </c:pt>
                <c:pt idx="18">
                  <c:v>1.3324254585025015</c:v>
                </c:pt>
                <c:pt idx="19">
                  <c:v>1.2955003103450626</c:v>
                </c:pt>
                <c:pt idx="20">
                  <c:v>1.2566864425356934</c:v>
                </c:pt>
                <c:pt idx="21">
                  <c:v>1.2163223692774925</c:v>
                </c:pt>
                <c:pt idx="22">
                  <c:v>1.1752760975843262</c:v>
                </c:pt>
                <c:pt idx="23">
                  <c:v>1.1340468600345444</c:v>
                </c:pt>
                <c:pt idx="24">
                  <c:v>1.0930794770456325</c:v>
                </c:pt>
                <c:pt idx="25">
                  <c:v>1.0527027807500151</c:v>
                </c:pt>
                <c:pt idx="26">
                  <c:v>1.0144906279892185</c:v>
                </c:pt>
                <c:pt idx="27">
                  <c:v>0.97682718089903198</c:v>
                </c:pt>
                <c:pt idx="28">
                  <c:v>0.95570845811230543</c:v>
                </c:pt>
                <c:pt idx="29">
                  <c:v>0.95284254557786086</c:v>
                </c:pt>
                <c:pt idx="30">
                  <c:v>0.91982146653195451</c:v>
                </c:pt>
                <c:pt idx="31">
                  <c:v>0.88466975454889074</c:v>
                </c:pt>
                <c:pt idx="32">
                  <c:v>0.85139259058985051</c:v>
                </c:pt>
                <c:pt idx="33">
                  <c:v>0.81998343527133577</c:v>
                </c:pt>
                <c:pt idx="34">
                  <c:v>0.79044058393738559</c:v>
                </c:pt>
                <c:pt idx="35">
                  <c:v>0.76251609541096466</c:v>
                </c:pt>
                <c:pt idx="36">
                  <c:v>0.7360078192103553</c:v>
                </c:pt>
                <c:pt idx="37">
                  <c:v>0.71068936993367215</c:v>
                </c:pt>
                <c:pt idx="38">
                  <c:v>0.68634800733850287</c:v>
                </c:pt>
                <c:pt idx="39">
                  <c:v>0.66279770821563899</c:v>
                </c:pt>
                <c:pt idx="40">
                  <c:v>0.64035995023166914</c:v>
                </c:pt>
                <c:pt idx="41">
                  <c:v>0.61859548068248171</c:v>
                </c:pt>
                <c:pt idx="42">
                  <c:v>0.59731789762328757</c:v>
                </c:pt>
                <c:pt idx="43">
                  <c:v>0.57692927170038877</c:v>
                </c:pt>
                <c:pt idx="44">
                  <c:v>0.55698031763474842</c:v>
                </c:pt>
                <c:pt idx="45">
                  <c:v>0.53814677383323561</c:v>
                </c:pt>
                <c:pt idx="46">
                  <c:v>0.52008542563809335</c:v>
                </c:pt>
                <c:pt idx="47">
                  <c:v>0.5</c:v>
                </c:pt>
                <c:pt idx="48">
                  <c:v>0.48561146265206612</c:v>
                </c:pt>
                <c:pt idx="49">
                  <c:v>0.47044294137135484</c:v>
                </c:pt>
                <c:pt idx="50">
                  <c:v>0.45668277602410151</c:v>
                </c:pt>
                <c:pt idx="51">
                  <c:v>0.44195534678401394</c:v>
                </c:pt>
                <c:pt idx="52">
                  <c:v>0.42862997904088546</c:v>
                </c:pt>
                <c:pt idx="53">
                  <c:v>0.41621055447133976</c:v>
                </c:pt>
                <c:pt idx="54">
                  <c:v>0.40418194224452986</c:v>
                </c:pt>
                <c:pt idx="55">
                  <c:v>0.39313336691017059</c:v>
                </c:pt>
                <c:pt idx="56">
                  <c:v>0.3826203279547164</c:v>
                </c:pt>
                <c:pt idx="57">
                  <c:v>0.37263179972703037</c:v>
                </c:pt>
                <c:pt idx="58">
                  <c:v>0.3632186157609209</c:v>
                </c:pt>
                <c:pt idx="59">
                  <c:v>0.35453729190458216</c:v>
                </c:pt>
                <c:pt idx="60">
                  <c:v>0.34593601147320563</c:v>
                </c:pt>
                <c:pt idx="61">
                  <c:v>0.33800557173391993</c:v>
                </c:pt>
                <c:pt idx="62">
                  <c:v>0.33078181007277063</c:v>
                </c:pt>
                <c:pt idx="63">
                  <c:v>0.32381266433823114</c:v>
                </c:pt>
                <c:pt idx="64">
                  <c:v>0.31703054399524938</c:v>
                </c:pt>
                <c:pt idx="65">
                  <c:v>0.31092883388216808</c:v>
                </c:pt>
                <c:pt idx="66">
                  <c:v>0.30484720073812177</c:v>
                </c:pt>
                <c:pt idx="67">
                  <c:v>0.29927908583447232</c:v>
                </c:pt>
                <c:pt idx="68">
                  <c:v>0.29373706357603679</c:v>
                </c:pt>
                <c:pt idx="69">
                  <c:v>0.28849575216625312</c:v>
                </c:pt>
                <c:pt idx="70">
                  <c:v>0.28347172484422484</c:v>
                </c:pt>
                <c:pt idx="71">
                  <c:v>0.27858572515429503</c:v>
                </c:pt>
                <c:pt idx="72">
                  <c:v>0.27400382848260296</c:v>
                </c:pt>
                <c:pt idx="73">
                  <c:v>0.26944189813939029</c:v>
                </c:pt>
                <c:pt idx="74">
                  <c:v>0.2653430738465718</c:v>
                </c:pt>
                <c:pt idx="75">
                  <c:v>0.2613574071721565</c:v>
                </c:pt>
                <c:pt idx="76">
                  <c:v>0.25720749700286316</c:v>
                </c:pt>
                <c:pt idx="77">
                  <c:v>0.25340493174919737</c:v>
                </c:pt>
                <c:pt idx="78">
                  <c:v>0.24963854751580372</c:v>
                </c:pt>
                <c:pt idx="79">
                  <c:v>0.2460378831315912</c:v>
                </c:pt>
                <c:pt idx="80">
                  <c:v>0.24257467669989749</c:v>
                </c:pt>
                <c:pt idx="81">
                  <c:v>0.2390392526401319</c:v>
                </c:pt>
                <c:pt idx="82">
                  <c:v>0.23567044000559478</c:v>
                </c:pt>
                <c:pt idx="83">
                  <c:v>0.23246756425238299</c:v>
                </c:pt>
                <c:pt idx="84">
                  <c:v>0.22936121664382475</c:v>
                </c:pt>
                <c:pt idx="85">
                  <c:v>0.2263508911796642</c:v>
                </c:pt>
                <c:pt idx="86">
                  <c:v>0.22340152078119116</c:v>
                </c:pt>
                <c:pt idx="87">
                  <c:v>0.22040803299016576</c:v>
                </c:pt>
                <c:pt idx="88">
                  <c:v>0.21768384809503077</c:v>
                </c:pt>
                <c:pt idx="89">
                  <c:v>0.21712387964224533</c:v>
                </c:pt>
                <c:pt idx="90">
                  <c:v>0.20214457276535475</c:v>
                </c:pt>
                <c:pt idx="91">
                  <c:v>0.19077990820737908</c:v>
                </c:pt>
                <c:pt idx="92">
                  <c:v>0.18083086254062197</c:v>
                </c:pt>
                <c:pt idx="93">
                  <c:v>0.17182999027167467</c:v>
                </c:pt>
                <c:pt idx="94">
                  <c:v>0.16363046873065934</c:v>
                </c:pt>
                <c:pt idx="95">
                  <c:v>0.1563239683069175</c:v>
                </c:pt>
                <c:pt idx="96">
                  <c:v>0.14959391583018869</c:v>
                </c:pt>
                <c:pt idx="97">
                  <c:v>0.14334983960309292</c:v>
                </c:pt>
                <c:pt idx="98">
                  <c:v>0.13767212418125926</c:v>
                </c:pt>
                <c:pt idx="99">
                  <c:v>0.13232706973484429</c:v>
                </c:pt>
                <c:pt idx="100">
                  <c:v>0.12743471995733699</c:v>
                </c:pt>
                <c:pt idx="101">
                  <c:v>0.12293296544523905</c:v>
                </c:pt>
                <c:pt idx="102">
                  <c:v>0.11870105049160493</c:v>
                </c:pt>
                <c:pt idx="103">
                  <c:v>0.11481138064729218</c:v>
                </c:pt>
                <c:pt idx="104">
                  <c:v>0.11107734339543604</c:v>
                </c:pt>
                <c:pt idx="105">
                  <c:v>0.10761963335579625</c:v>
                </c:pt>
                <c:pt idx="106">
                  <c:v>0.1044031861741543</c:v>
                </c:pt>
                <c:pt idx="107">
                  <c:v>0.10127308299183015</c:v>
                </c:pt>
                <c:pt idx="108">
                  <c:v>9.8471662031055993E-2</c:v>
                </c:pt>
                <c:pt idx="109">
                  <c:v>9.5720383064778758E-2</c:v>
                </c:pt>
                <c:pt idx="110">
                  <c:v>9.3084339810579481E-2</c:v>
                </c:pt>
                <c:pt idx="111">
                  <c:v>9.0698693682562434E-2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0A0-4612-8CCF-F4038B095CB8}"/>
            </c:ext>
          </c:extLst>
        </c:ser>
        <c:ser>
          <c:idx val="4"/>
          <c:order val="3"/>
          <c:tx>
            <c:strRef>
              <c:f>'[1]654.3nm _20.5 C'!$L$2</c:f>
              <c:strCache>
                <c:ptCount val="1"/>
                <c:pt idx="0">
                  <c:v>R_waves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'[1]654.3nm _20.5 C'!$K$3:$K$132</c:f>
              <c:numCache>
                <c:formatCode>General</c:formatCode>
                <c:ptCount val="13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0.10606601717798211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0.28284271247461901</c:v>
                </c:pt>
                <c:pt idx="8">
                  <c:v>0.31819805153394637</c:v>
                </c:pt>
                <c:pt idx="9">
                  <c:v>0.35355339059327373</c:v>
                </c:pt>
                <c:pt idx="10">
                  <c:v>0.37123106012293744</c:v>
                </c:pt>
                <c:pt idx="11">
                  <c:v>0.38890872965260115</c:v>
                </c:pt>
                <c:pt idx="12">
                  <c:v>0.40658639918226486</c:v>
                </c:pt>
                <c:pt idx="13">
                  <c:v>0.42426406871192857</c:v>
                </c:pt>
                <c:pt idx="14">
                  <c:v>0.44194173824159227</c:v>
                </c:pt>
                <c:pt idx="15">
                  <c:v>0.45961940777125593</c:v>
                </c:pt>
                <c:pt idx="16">
                  <c:v>0.47729707730091964</c:v>
                </c:pt>
                <c:pt idx="17">
                  <c:v>0.49497474683058335</c:v>
                </c:pt>
                <c:pt idx="18">
                  <c:v>0.51265241636024705</c:v>
                </c:pt>
                <c:pt idx="19">
                  <c:v>0.53033008588991082</c:v>
                </c:pt>
                <c:pt idx="20">
                  <c:v>0.54800775541957447</c:v>
                </c:pt>
                <c:pt idx="21">
                  <c:v>0.56568542494923812</c:v>
                </c:pt>
                <c:pt idx="22">
                  <c:v>0.58336309447890189</c:v>
                </c:pt>
                <c:pt idx="23">
                  <c:v>0.60104076400856554</c:v>
                </c:pt>
                <c:pt idx="24">
                  <c:v>0.61871843353822931</c:v>
                </c:pt>
                <c:pt idx="25">
                  <c:v>0.63639610306789296</c:v>
                </c:pt>
                <c:pt idx="26">
                  <c:v>0.65407377259755672</c:v>
                </c:pt>
                <c:pt idx="27">
                  <c:v>0.67175144212722038</c:v>
                </c:pt>
                <c:pt idx="28">
                  <c:v>0.68942911165688414</c:v>
                </c:pt>
                <c:pt idx="29">
                  <c:v>0.70710678118654779</c:v>
                </c:pt>
                <c:pt idx="30">
                  <c:v>0.72478445071621145</c:v>
                </c:pt>
                <c:pt idx="31">
                  <c:v>0.74246212024587499</c:v>
                </c:pt>
                <c:pt idx="32">
                  <c:v>0.76013978977553864</c:v>
                </c:pt>
                <c:pt idx="33">
                  <c:v>0.7778174593052023</c:v>
                </c:pt>
                <c:pt idx="34">
                  <c:v>0.79549512883486595</c:v>
                </c:pt>
                <c:pt idx="35">
                  <c:v>0.81317279836452949</c:v>
                </c:pt>
                <c:pt idx="36">
                  <c:v>0.83085046789419315</c:v>
                </c:pt>
                <c:pt idx="37">
                  <c:v>0.8485281374238568</c:v>
                </c:pt>
                <c:pt idx="38">
                  <c:v>0.86620580695352045</c:v>
                </c:pt>
                <c:pt idx="39">
                  <c:v>0.88388347648318399</c:v>
                </c:pt>
                <c:pt idx="40">
                  <c:v>0.90156114601284765</c:v>
                </c:pt>
                <c:pt idx="41">
                  <c:v>0.9192388155425113</c:v>
                </c:pt>
                <c:pt idx="42">
                  <c:v>0.93691648507217495</c:v>
                </c:pt>
                <c:pt idx="43">
                  <c:v>0.9545941546018385</c:v>
                </c:pt>
                <c:pt idx="44">
                  <c:v>0.97227182413150215</c:v>
                </c:pt>
                <c:pt idx="45">
                  <c:v>0.9899494936611658</c:v>
                </c:pt>
                <c:pt idx="46">
                  <c:v>1.0076271631908293</c:v>
                </c:pt>
                <c:pt idx="47">
                  <c:v>1.025304832720493</c:v>
                </c:pt>
                <c:pt idx="48">
                  <c:v>1.0429825022501567</c:v>
                </c:pt>
                <c:pt idx="49">
                  <c:v>1.0606601717798203</c:v>
                </c:pt>
                <c:pt idx="50">
                  <c:v>1.078337841309484</c:v>
                </c:pt>
                <c:pt idx="51">
                  <c:v>1.0960155108391476</c:v>
                </c:pt>
                <c:pt idx="52">
                  <c:v>1.113693180368811</c:v>
                </c:pt>
                <c:pt idx="53">
                  <c:v>1.1313708498984747</c:v>
                </c:pt>
                <c:pt idx="54">
                  <c:v>1.1490485194281383</c:v>
                </c:pt>
                <c:pt idx="55">
                  <c:v>1.166726188957802</c:v>
                </c:pt>
                <c:pt idx="56">
                  <c:v>1.1844038584874657</c:v>
                </c:pt>
                <c:pt idx="57">
                  <c:v>1.2020815280171293</c:v>
                </c:pt>
                <c:pt idx="58">
                  <c:v>1.219759197546793</c:v>
                </c:pt>
                <c:pt idx="59">
                  <c:v>1.2374368670764566</c:v>
                </c:pt>
                <c:pt idx="60">
                  <c:v>1.25511453660612</c:v>
                </c:pt>
                <c:pt idx="61">
                  <c:v>1.2727922061357837</c:v>
                </c:pt>
                <c:pt idx="62">
                  <c:v>1.2904698756654474</c:v>
                </c:pt>
                <c:pt idx="63">
                  <c:v>1.308147545195111</c:v>
                </c:pt>
                <c:pt idx="64">
                  <c:v>1.3258252147247747</c:v>
                </c:pt>
                <c:pt idx="65">
                  <c:v>1.3435028842544383</c:v>
                </c:pt>
                <c:pt idx="66">
                  <c:v>1.361180553784102</c:v>
                </c:pt>
                <c:pt idx="67">
                  <c:v>1.3788582233137654</c:v>
                </c:pt>
                <c:pt idx="68">
                  <c:v>1.396535892843429</c:v>
                </c:pt>
                <c:pt idx="69">
                  <c:v>1.4142135623730927</c:v>
                </c:pt>
                <c:pt idx="70">
                  <c:v>1.4318912319027564</c:v>
                </c:pt>
                <c:pt idx="71">
                  <c:v>1.44956890143242</c:v>
                </c:pt>
                <c:pt idx="72">
                  <c:v>1.4849242404917473</c:v>
                </c:pt>
                <c:pt idx="73">
                  <c:v>1.5202795795510744</c:v>
                </c:pt>
                <c:pt idx="74">
                  <c:v>1.5379572490807381</c:v>
                </c:pt>
                <c:pt idx="75">
                  <c:v>1.5556349186104017</c:v>
                </c:pt>
                <c:pt idx="76">
                  <c:v>1.5733125881400654</c:v>
                </c:pt>
                <c:pt idx="77">
                  <c:v>1.590990257669729</c:v>
                </c:pt>
                <c:pt idx="78">
                  <c:v>1.6086679271993927</c:v>
                </c:pt>
                <c:pt idx="79">
                  <c:v>1.6263455967290563</c:v>
                </c:pt>
                <c:pt idx="80">
                  <c:v>1.64402326625872</c:v>
                </c:pt>
                <c:pt idx="81">
                  <c:v>1.6617009357883834</c:v>
                </c:pt>
                <c:pt idx="82">
                  <c:v>1.6970562748477107</c:v>
                </c:pt>
                <c:pt idx="83">
                  <c:v>1.732411613907038</c:v>
                </c:pt>
                <c:pt idx="84">
                  <c:v>1.7677669529663653</c:v>
                </c:pt>
                <c:pt idx="85">
                  <c:v>1.8031222920256924</c:v>
                </c:pt>
                <c:pt idx="86">
                  <c:v>1.8384776310850197</c:v>
                </c:pt>
                <c:pt idx="87">
                  <c:v>1.873832970144347</c:v>
                </c:pt>
                <c:pt idx="88">
                  <c:v>1.9091883092036743</c:v>
                </c:pt>
                <c:pt idx="89">
                  <c:v>1.9445436482630014</c:v>
                </c:pt>
                <c:pt idx="90">
                  <c:v>1.9798989873223287</c:v>
                </c:pt>
                <c:pt idx="91">
                  <c:v>2.015254326381656</c:v>
                </c:pt>
                <c:pt idx="92">
                  <c:v>2.0506096654409833</c:v>
                </c:pt>
                <c:pt idx="93">
                  <c:v>2.0859650045003106</c:v>
                </c:pt>
                <c:pt idx="94">
                  <c:v>2.1213203435596375</c:v>
                </c:pt>
                <c:pt idx="95">
                  <c:v>2.1566756826189648</c:v>
                </c:pt>
                <c:pt idx="96">
                  <c:v>2.1920310216782921</c:v>
                </c:pt>
                <c:pt idx="97">
                  <c:v>2.2273863607376194</c:v>
                </c:pt>
                <c:pt idx="98">
                  <c:v>2.2627416997969467</c:v>
                </c:pt>
                <c:pt idx="99">
                  <c:v>2.298097038856274</c:v>
                </c:pt>
                <c:pt idx="100">
                  <c:v>2.3688077169749286</c:v>
                </c:pt>
                <c:pt idx="101">
                  <c:v>2.4395183950935837</c:v>
                </c:pt>
                <c:pt idx="102">
                  <c:v>2.5102290732122383</c:v>
                </c:pt>
                <c:pt idx="103">
                  <c:v>2.5809397513308934</c:v>
                </c:pt>
                <c:pt idx="104">
                  <c:v>2.651650429449548</c:v>
                </c:pt>
                <c:pt idx="105">
                  <c:v>2.722361107568203</c:v>
                </c:pt>
                <c:pt idx="106">
                  <c:v>2.828427124746185</c:v>
                </c:pt>
                <c:pt idx="107">
                  <c:v>2.9344931419241673</c:v>
                </c:pt>
                <c:pt idx="108">
                  <c:v>3.0405591591021497</c:v>
                </c:pt>
                <c:pt idx="109">
                  <c:v>3.1466251762801321</c:v>
                </c:pt>
                <c:pt idx="110">
                  <c:v>3.2526911934581144</c:v>
                </c:pt>
                <c:pt idx="111">
                  <c:v>3.3587572106360968</c:v>
                </c:pt>
                <c:pt idx="112">
                  <c:v>3.4648232278140791</c:v>
                </c:pt>
                <c:pt idx="113">
                  <c:v>3.5355339059327373</c:v>
                </c:pt>
                <c:pt idx="114">
                  <c:v>3.7123106012293743</c:v>
                </c:pt>
                <c:pt idx="115">
                  <c:v>3.8890872965260113</c:v>
                </c:pt>
                <c:pt idx="116">
                  <c:v>4.0658639918226482</c:v>
                </c:pt>
                <c:pt idx="117">
                  <c:v>4.2426406871192848</c:v>
                </c:pt>
                <c:pt idx="118">
                  <c:v>4.4194173824159213</c:v>
                </c:pt>
                <c:pt idx="119">
                  <c:v>4.5961940777125587</c:v>
                </c:pt>
                <c:pt idx="120">
                  <c:v>4.7729707730091953</c:v>
                </c:pt>
                <c:pt idx="121">
                  <c:v>4.9497474683058327</c:v>
                </c:pt>
                <c:pt idx="122">
                  <c:v>5.1265241636024692</c:v>
                </c:pt>
                <c:pt idx="123">
                  <c:v>5.3033008588991057</c:v>
                </c:pt>
                <c:pt idx="124">
                  <c:v>5.4800775541957432</c:v>
                </c:pt>
                <c:pt idx="125">
                  <c:v>5.6568542494923797</c:v>
                </c:pt>
                <c:pt idx="126">
                  <c:v>6.0104076400856536</c:v>
                </c:pt>
                <c:pt idx="127">
                  <c:v>6.3639610306789276</c:v>
                </c:pt>
                <c:pt idx="128">
                  <c:v>6.7175144212722007</c:v>
                </c:pt>
                <c:pt idx="129">
                  <c:v>7.0710678118654746</c:v>
                </c:pt>
              </c:numCache>
            </c:numRef>
          </c:xVal>
          <c:yVal>
            <c:numRef>
              <c:f>'[1]654.3nm _20.5 C'!$L$3:$L$132</c:f>
              <c:numCache>
                <c:formatCode>General</c:formatCode>
                <c:ptCount val="130"/>
                <c:pt idx="0">
                  <c:v>0.74916013038204499</c:v>
                </c:pt>
                <c:pt idx="1">
                  <c:v>0.74890358663058676</c:v>
                </c:pt>
                <c:pt idx="2">
                  <c:v>0.7487753137282076</c:v>
                </c:pt>
                <c:pt idx="3">
                  <c:v>0.74851876545346774</c:v>
                </c:pt>
                <c:pt idx="4">
                  <c:v>0.74830497231265258</c:v>
                </c:pt>
                <c:pt idx="5">
                  <c:v>0.74824925584295687</c:v>
                </c:pt>
                <c:pt idx="6">
                  <c:v>0.74787737646876107</c:v>
                </c:pt>
                <c:pt idx="7">
                  <c:v>0.74752265828978148</c:v>
                </c:pt>
                <c:pt idx="8">
                  <c:v>0.74712552259842335</c:v>
                </c:pt>
                <c:pt idx="9">
                  <c:v>0.74631370783523621</c:v>
                </c:pt>
                <c:pt idx="10">
                  <c:v>0.74585553817392147</c:v>
                </c:pt>
                <c:pt idx="11">
                  <c:v>0.74520264374021017</c:v>
                </c:pt>
                <c:pt idx="12">
                  <c:v>0.74451879918229558</c:v>
                </c:pt>
                <c:pt idx="13">
                  <c:v>0.74378116200089806</c:v>
                </c:pt>
                <c:pt idx="14">
                  <c:v>0.74288369994849768</c:v>
                </c:pt>
                <c:pt idx="15">
                  <c:v>0.74169673040201589</c:v>
                </c:pt>
                <c:pt idx="16">
                  <c:v>0.74019917437187377</c:v>
                </c:pt>
                <c:pt idx="17">
                  <c:v>0.7383496031319593</c:v>
                </c:pt>
                <c:pt idx="18">
                  <c:v>0.73606425138908538</c:v>
                </c:pt>
                <c:pt idx="19">
                  <c:v>0.73293517034958267</c:v>
                </c:pt>
                <c:pt idx="20">
                  <c:v>0.72886576701709238</c:v>
                </c:pt>
                <c:pt idx="21">
                  <c:v>0.72432456279693913</c:v>
                </c:pt>
                <c:pt idx="22">
                  <c:v>0.71855679997729272</c:v>
                </c:pt>
                <c:pt idx="23">
                  <c:v>0.71212165853616571</c:v>
                </c:pt>
                <c:pt idx="24">
                  <c:v>0.7054261050379822</c:v>
                </c:pt>
                <c:pt idx="25">
                  <c:v>0.69795989754024368</c:v>
                </c:pt>
                <c:pt idx="26">
                  <c:v>0.6900195551918068</c:v>
                </c:pt>
                <c:pt idx="27">
                  <c:v>0.68120948986135099</c:v>
                </c:pt>
                <c:pt idx="28">
                  <c:v>0.67312381489200079</c:v>
                </c:pt>
                <c:pt idx="29">
                  <c:v>0.66419864692338293</c:v>
                </c:pt>
                <c:pt idx="30">
                  <c:v>0.65470289981229202</c:v>
                </c:pt>
                <c:pt idx="31">
                  <c:v>0.64507588266502414</c:v>
                </c:pt>
                <c:pt idx="32">
                  <c:v>0.63612371717194327</c:v>
                </c:pt>
                <c:pt idx="33">
                  <c:v>0.62744211959970908</c:v>
                </c:pt>
                <c:pt idx="34">
                  <c:v>0.61770844882835985</c:v>
                </c:pt>
                <c:pt idx="35">
                  <c:v>0.60807297371722113</c:v>
                </c:pt>
                <c:pt idx="36">
                  <c:v>0.59919807829963379</c:v>
                </c:pt>
                <c:pt idx="37">
                  <c:v>0.59006533110338111</c:v>
                </c:pt>
                <c:pt idx="38">
                  <c:v>0.58035616077761654</c:v>
                </c:pt>
                <c:pt idx="39">
                  <c:v>0.57093920096063766</c:v>
                </c:pt>
                <c:pt idx="40">
                  <c:v>0.56152058148841588</c:v>
                </c:pt>
                <c:pt idx="41">
                  <c:v>0.5528442765004814</c:v>
                </c:pt>
                <c:pt idx="42">
                  <c:v>0.54386341823854711</c:v>
                </c:pt>
                <c:pt idx="43">
                  <c:v>0.53453752137260946</c:v>
                </c:pt>
                <c:pt idx="44">
                  <c:v>0.52336864635919067</c:v>
                </c:pt>
                <c:pt idx="45">
                  <c:v>0.51315803450232311</c:v>
                </c:pt>
                <c:pt idx="46">
                  <c:v>0.50607796137802896</c:v>
                </c:pt>
                <c:pt idx="47">
                  <c:v>0.5</c:v>
                </c:pt>
                <c:pt idx="48">
                  <c:v>0.48416387966035312</c:v>
                </c:pt>
                <c:pt idx="49">
                  <c:v>0.47833913911657233</c:v>
                </c:pt>
                <c:pt idx="50">
                  <c:v>0.46929920158089072</c:v>
                </c:pt>
                <c:pt idx="51">
                  <c:v>0.45893477383389691</c:v>
                </c:pt>
                <c:pt idx="52">
                  <c:v>0.4514467251425679</c:v>
                </c:pt>
                <c:pt idx="53">
                  <c:v>0.44290491288544864</c:v>
                </c:pt>
                <c:pt idx="54">
                  <c:v>0.43426510702330412</c:v>
                </c:pt>
                <c:pt idx="55">
                  <c:v>0.426984696419976</c:v>
                </c:pt>
                <c:pt idx="56">
                  <c:v>0.41948294454431406</c:v>
                </c:pt>
                <c:pt idx="57">
                  <c:v>0.41034089304204652</c:v>
                </c:pt>
                <c:pt idx="58">
                  <c:v>0.40249546186906349</c:v>
                </c:pt>
                <c:pt idx="59">
                  <c:v>0.39488758027605675</c:v>
                </c:pt>
                <c:pt idx="60">
                  <c:v>0.38719906095261325</c:v>
                </c:pt>
                <c:pt idx="61">
                  <c:v>0.37972922831517503</c:v>
                </c:pt>
                <c:pt idx="62">
                  <c:v>0.37328823328834487</c:v>
                </c:pt>
                <c:pt idx="63">
                  <c:v>0.36597186197964671</c:v>
                </c:pt>
                <c:pt idx="64">
                  <c:v>0.35841095431906811</c:v>
                </c:pt>
                <c:pt idx="65">
                  <c:v>0.35182223628698145</c:v>
                </c:pt>
                <c:pt idx="66">
                  <c:v>0.34489063631829442</c:v>
                </c:pt>
                <c:pt idx="67">
                  <c:v>0.33850603711003519</c:v>
                </c:pt>
                <c:pt idx="68">
                  <c:v>0.33207425381626243</c:v>
                </c:pt>
                <c:pt idx="69">
                  <c:v>0.32682969269558482</c:v>
                </c:pt>
                <c:pt idx="70">
                  <c:v>0.32027136784456361</c:v>
                </c:pt>
                <c:pt idx="71">
                  <c:v>0.3143008347535734</c:v>
                </c:pt>
                <c:pt idx="72">
                  <c:v>0.30347731859558974</c:v>
                </c:pt>
                <c:pt idx="73">
                  <c:v>0.29205449095507696</c:v>
                </c:pt>
                <c:pt idx="74">
                  <c:v>0.28717803173124679</c:v>
                </c:pt>
                <c:pt idx="75">
                  <c:v>0.28196557556252</c:v>
                </c:pt>
                <c:pt idx="76">
                  <c:v>0.2778261815752861</c:v>
                </c:pt>
                <c:pt idx="77">
                  <c:v>0.27201203934511731</c:v>
                </c:pt>
                <c:pt idx="78">
                  <c:v>0.26745695331954683</c:v>
                </c:pt>
                <c:pt idx="79">
                  <c:v>0.26287340278221727</c:v>
                </c:pt>
                <c:pt idx="80">
                  <c:v>0.25927262791466293</c:v>
                </c:pt>
                <c:pt idx="81">
                  <c:v>0.25468862853080843</c:v>
                </c:pt>
                <c:pt idx="82">
                  <c:v>0.24611647631686545</c:v>
                </c:pt>
                <c:pt idx="83">
                  <c:v>0.23885895015365682</c:v>
                </c:pt>
                <c:pt idx="84">
                  <c:v>0.23117579385322765</c:v>
                </c:pt>
                <c:pt idx="85">
                  <c:v>0.22491441726657641</c:v>
                </c:pt>
                <c:pt idx="86">
                  <c:v>0.21828007138375741</c:v>
                </c:pt>
                <c:pt idx="87">
                  <c:v>0.21161752874566811</c:v>
                </c:pt>
                <c:pt idx="88">
                  <c:v>0.20580333408899515</c:v>
                </c:pt>
                <c:pt idx="89">
                  <c:v>0.20066252784221975</c:v>
                </c:pt>
                <c:pt idx="90">
                  <c:v>0.19496445012232763</c:v>
                </c:pt>
                <c:pt idx="91">
                  <c:v>0.18993442984658493</c:v>
                </c:pt>
                <c:pt idx="92">
                  <c:v>0.18522749812985737</c:v>
                </c:pt>
                <c:pt idx="93">
                  <c:v>0.18100908815555902</c:v>
                </c:pt>
                <c:pt idx="94">
                  <c:v>0.176387612140714</c:v>
                </c:pt>
                <c:pt idx="95">
                  <c:v>0.17247313914507514</c:v>
                </c:pt>
                <c:pt idx="96">
                  <c:v>0.16858376999066607</c:v>
                </c:pt>
                <c:pt idx="97">
                  <c:v>0.16489796624581857</c:v>
                </c:pt>
                <c:pt idx="98">
                  <c:v>0.1612135334754134</c:v>
                </c:pt>
                <c:pt idx="99">
                  <c:v>0.15789558308594664</c:v>
                </c:pt>
                <c:pt idx="100">
                  <c:v>0.15160462595361388</c:v>
                </c:pt>
                <c:pt idx="101">
                  <c:v>0.14612279629432195</c:v>
                </c:pt>
                <c:pt idx="102">
                  <c:v>0.14084633594486126</c:v>
                </c:pt>
                <c:pt idx="103">
                  <c:v>0.13608701450477539</c:v>
                </c:pt>
                <c:pt idx="104">
                  <c:v>0.13165268253448872</c:v>
                </c:pt>
                <c:pt idx="105">
                  <c:v>0.12747310091436176</c:v>
                </c:pt>
                <c:pt idx="106">
                  <c:v>0.12181214075081163</c:v>
                </c:pt>
                <c:pt idx="107">
                  <c:v>0.11660479639766461</c:v>
                </c:pt>
                <c:pt idx="108">
                  <c:v>0.11206130028742843</c:v>
                </c:pt>
                <c:pt idx="109">
                  <c:v>0.10768338230567104</c:v>
                </c:pt>
                <c:pt idx="110">
                  <c:v>0.10387043142101438</c:v>
                </c:pt>
                <c:pt idx="111">
                  <c:v>0.10017806057919676</c:v>
                </c:pt>
                <c:pt idx="112">
                  <c:v>9.6955276569317725E-2</c:v>
                </c:pt>
                <c:pt idx="113">
                  <c:v>9.4840959849757739E-2</c:v>
                </c:pt>
                <c:pt idx="114">
                  <c:v>8.9921072552904366E-2</c:v>
                </c:pt>
                <c:pt idx="115">
                  <c:v>8.551591236393144E-2</c:v>
                </c:pt>
                <c:pt idx="116">
                  <c:v>8.1483850889216919E-2</c:v>
                </c:pt>
                <c:pt idx="117">
                  <c:v>7.7875806041887E-2</c:v>
                </c:pt>
                <c:pt idx="118">
                  <c:v>7.4726960086654304E-2</c:v>
                </c:pt>
                <c:pt idx="119">
                  <c:v>7.1645736624816214E-2</c:v>
                </c:pt>
                <c:pt idx="120">
                  <c:v>6.885245455211024E-2</c:v>
                </c:pt>
                <c:pt idx="121">
                  <c:v>6.6385355450831796E-2</c:v>
                </c:pt>
                <c:pt idx="122">
                  <c:v>6.405206647419999E-2</c:v>
                </c:pt>
                <c:pt idx="123">
                  <c:v>6.1758556554455425E-2</c:v>
                </c:pt>
                <c:pt idx="124">
                  <c:v>5.9720979403583632E-2</c:v>
                </c:pt>
                <c:pt idx="125">
                  <c:v>5.7865256947021861E-2</c:v>
                </c:pt>
                <c:pt idx="126">
                  <c:v>5.4382111278369449E-2</c:v>
                </c:pt>
                <c:pt idx="127">
                  <c:v>5.1410857910953359E-2</c:v>
                </c:pt>
                <c:pt idx="128">
                  <c:v>4.8593082169579346E-2</c:v>
                </c:pt>
                <c:pt idx="129">
                  <c:v>4.6153332816530619E-2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0A0-4612-8CCF-F4038B095CB8}"/>
            </c:ext>
          </c:extLst>
        </c:ser>
        <c:ser>
          <c:idx val="0"/>
          <c:order val="4"/>
          <c:tx>
            <c:strRef>
              <c:f>'LCVR 532nm'!$Q$1</c:f>
              <c:strCache>
                <c:ptCount val="1"/>
                <c:pt idx="0">
                  <c:v>d (waves)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'LCVR 532nm'!$P$2:$P$111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532nm'!$Q$2:$Q$111</c:f>
              <c:numCache>
                <c:formatCode>General</c:formatCode>
                <c:ptCount val="110"/>
                <c:pt idx="0">
                  <c:v>0.97552195145936282</c:v>
                </c:pt>
                <c:pt idx="1">
                  <c:v>0.97552195145936282</c:v>
                </c:pt>
                <c:pt idx="2">
                  <c:v>0.97552195145936282</c:v>
                </c:pt>
                <c:pt idx="3">
                  <c:v>0.97553030655735162</c:v>
                </c:pt>
                <c:pt idx="4">
                  <c:v>0.97513797477138564</c:v>
                </c:pt>
                <c:pt idx="5">
                  <c:v>0.97513797477138564</c:v>
                </c:pt>
                <c:pt idx="6">
                  <c:v>0.97475168978296878</c:v>
                </c:pt>
                <c:pt idx="7">
                  <c:v>0.97475168978296878</c:v>
                </c:pt>
                <c:pt idx="8">
                  <c:v>0.97437117815866237</c:v>
                </c:pt>
                <c:pt idx="9">
                  <c:v>0.97399618643922348</c:v>
                </c:pt>
                <c:pt idx="10">
                  <c:v>0.97325270392658225</c:v>
                </c:pt>
                <c:pt idx="11">
                  <c:v>0.97184040685003037</c:v>
                </c:pt>
                <c:pt idx="12">
                  <c:v>0.96984449737561629</c:v>
                </c:pt>
                <c:pt idx="13">
                  <c:v>0.96647776487116888</c:v>
                </c:pt>
                <c:pt idx="14">
                  <c:v>0.96036919234894591</c:v>
                </c:pt>
                <c:pt idx="15">
                  <c:v>0.95030238555160573</c:v>
                </c:pt>
                <c:pt idx="16">
                  <c:v>0.93561251490513087</c:v>
                </c:pt>
                <c:pt idx="17">
                  <c:v>0.91725635080822598</c:v>
                </c:pt>
                <c:pt idx="18">
                  <c:v>0.89602928276256033</c:v>
                </c:pt>
                <c:pt idx="19">
                  <c:v>0.87288220052182652</c:v>
                </c:pt>
                <c:pt idx="20">
                  <c:v>0.84843779300226863</c:v>
                </c:pt>
                <c:pt idx="21">
                  <c:v>0.82323399814292142</c:v>
                </c:pt>
                <c:pt idx="22">
                  <c:v>0.79726046503749171</c:v>
                </c:pt>
                <c:pt idx="23">
                  <c:v>0.77112604414801467</c:v>
                </c:pt>
                <c:pt idx="24">
                  <c:v>0.74489028402851687</c:v>
                </c:pt>
                <c:pt idx="25">
                  <c:v>0.71876096723383098</c:v>
                </c:pt>
                <c:pt idx="26">
                  <c:v>0.69281555848484255</c:v>
                </c:pt>
                <c:pt idx="27">
                  <c:v>0.66722329410060466</c:v>
                </c:pt>
                <c:pt idx="28">
                  <c:v>0.64240115260511299</c:v>
                </c:pt>
                <c:pt idx="29">
                  <c:v>0.61822198946467988</c:v>
                </c:pt>
                <c:pt idx="30">
                  <c:v>0.59497068399413344</c:v>
                </c:pt>
                <c:pt idx="31">
                  <c:v>0.57240188934876002</c:v>
                </c:pt>
                <c:pt idx="32">
                  <c:v>0.55077949560416195</c:v>
                </c:pt>
                <c:pt idx="33">
                  <c:v>0.52956573444430233</c:v>
                </c:pt>
                <c:pt idx="34">
                  <c:v>0.50762359672816226</c:v>
                </c:pt>
                <c:pt idx="35">
                  <c:v>0.5</c:v>
                </c:pt>
                <c:pt idx="36">
                  <c:v>0.47569446781003055</c:v>
                </c:pt>
                <c:pt idx="37">
                  <c:v>0.45766983291455338</c:v>
                </c:pt>
                <c:pt idx="38">
                  <c:v>0.44093034455455343</c:v>
                </c:pt>
                <c:pt idx="39">
                  <c:v>0.42503067499483782</c:v>
                </c:pt>
                <c:pt idx="40">
                  <c:v>0.41023532641780952</c:v>
                </c:pt>
                <c:pt idx="41">
                  <c:v>0.39634683070469279</c:v>
                </c:pt>
                <c:pt idx="42">
                  <c:v>0.38316634975786196</c:v>
                </c:pt>
                <c:pt idx="43">
                  <c:v>0.37059612427749217</c:v>
                </c:pt>
                <c:pt idx="44">
                  <c:v>0.35858952001730549</c:v>
                </c:pt>
                <c:pt idx="45">
                  <c:v>0.34727894628516637</c:v>
                </c:pt>
                <c:pt idx="46">
                  <c:v>0.33650654391191992</c:v>
                </c:pt>
                <c:pt idx="47">
                  <c:v>0.3262271806432972</c:v>
                </c:pt>
                <c:pt idx="48">
                  <c:v>0.31661563475008414</c:v>
                </c:pt>
                <c:pt idx="49">
                  <c:v>0.30738630643858583</c:v>
                </c:pt>
                <c:pt idx="50">
                  <c:v>0.29873833218003243</c:v>
                </c:pt>
                <c:pt idx="51">
                  <c:v>0.29042557879692188</c:v>
                </c:pt>
                <c:pt idx="52">
                  <c:v>0.28247319725947162</c:v>
                </c:pt>
                <c:pt idx="53">
                  <c:v>0.27497261713649285</c:v>
                </c:pt>
                <c:pt idx="54">
                  <c:v>0.26783436985652315</c:v>
                </c:pt>
                <c:pt idx="55">
                  <c:v>0.26103759239698943</c:v>
                </c:pt>
                <c:pt idx="56">
                  <c:v>0.25462693080153564</c:v>
                </c:pt>
                <c:pt idx="57">
                  <c:v>0.24846769119789955</c:v>
                </c:pt>
                <c:pt idx="58">
                  <c:v>0.24255033418928199</c:v>
                </c:pt>
                <c:pt idx="59">
                  <c:v>0.23692858267438807</c:v>
                </c:pt>
                <c:pt idx="60">
                  <c:v>0.23153600544662378</c:v>
                </c:pt>
                <c:pt idx="61">
                  <c:v>0.22655363300374773</c:v>
                </c:pt>
                <c:pt idx="62">
                  <c:v>0.22167191530143107</c:v>
                </c:pt>
                <c:pt idx="63">
                  <c:v>0.21722570718108128</c:v>
                </c:pt>
                <c:pt idx="64">
                  <c:v>0.21280999686023727</c:v>
                </c:pt>
                <c:pt idx="65">
                  <c:v>0.20859090891234985</c:v>
                </c:pt>
                <c:pt idx="66">
                  <c:v>0.20453277515729695</c:v>
                </c:pt>
                <c:pt idx="67">
                  <c:v>0.20063640568236096</c:v>
                </c:pt>
                <c:pt idx="68">
                  <c:v>0.19690312192975615</c:v>
                </c:pt>
                <c:pt idx="69">
                  <c:v>0.19326956169323747</c:v>
                </c:pt>
                <c:pt idx="70">
                  <c:v>0.18986769801142225</c:v>
                </c:pt>
                <c:pt idx="71">
                  <c:v>0.18656924899040275</c:v>
                </c:pt>
                <c:pt idx="72">
                  <c:v>0.18337544062123554</c:v>
                </c:pt>
                <c:pt idx="73">
                  <c:v>0.1802243808922587</c:v>
                </c:pt>
                <c:pt idx="74">
                  <c:v>0.17737601059445005</c:v>
                </c:pt>
                <c:pt idx="75">
                  <c:v>0.17450239155605951</c:v>
                </c:pt>
                <c:pt idx="76">
                  <c:v>0.17167126281595252</c:v>
                </c:pt>
                <c:pt idx="77">
                  <c:v>0.16908729913702492</c:v>
                </c:pt>
                <c:pt idx="78">
                  <c:v>0.16642055914229606</c:v>
                </c:pt>
                <c:pt idx="79">
                  <c:v>0.16393591960901621</c:v>
                </c:pt>
                <c:pt idx="80">
                  <c:v>0.15918555954897942</c:v>
                </c:pt>
                <c:pt idx="81">
                  <c:v>0.1546387219495661</c:v>
                </c:pt>
                <c:pt idx="82">
                  <c:v>0.15054701430754919</c:v>
                </c:pt>
                <c:pt idx="83">
                  <c:v>0.14658261337179096</c:v>
                </c:pt>
                <c:pt idx="84">
                  <c:v>0.14277702816717694</c:v>
                </c:pt>
                <c:pt idx="85">
                  <c:v>0.13929682883777209</c:v>
                </c:pt>
                <c:pt idx="86">
                  <c:v>0.13588312376421061</c:v>
                </c:pt>
                <c:pt idx="87">
                  <c:v>0.13263398155690773</c:v>
                </c:pt>
                <c:pt idx="88">
                  <c:v>0.12962810870520303</c:v>
                </c:pt>
                <c:pt idx="89">
                  <c:v>0.12664703716719905</c:v>
                </c:pt>
                <c:pt idx="90">
                  <c:v>0.11999991726354781</c:v>
                </c:pt>
                <c:pt idx="91">
                  <c:v>0.1140711793219739</c:v>
                </c:pt>
                <c:pt idx="92">
                  <c:v>0.1086554178883581</c:v>
                </c:pt>
                <c:pt idx="93">
                  <c:v>0.10381187782453151</c:v>
                </c:pt>
                <c:pt idx="94">
                  <c:v>9.9396664916699767E-2</c:v>
                </c:pt>
                <c:pt idx="95">
                  <c:v>9.534840088407405E-2</c:v>
                </c:pt>
                <c:pt idx="96">
                  <c:v>9.1593998886129346E-2</c:v>
                </c:pt>
                <c:pt idx="97">
                  <c:v>8.8164144778813847E-2</c:v>
                </c:pt>
                <c:pt idx="98">
                  <c:v>8.49717711581955E-2</c:v>
                </c:pt>
                <c:pt idx="99">
                  <c:v>8.2040323788159245E-2</c:v>
                </c:pt>
                <c:pt idx="100">
                  <c:v>7.9266845772188177E-2</c:v>
                </c:pt>
                <c:pt idx="101">
                  <c:v>7.6797997799187112E-2</c:v>
                </c:pt>
                <c:pt idx="102">
                  <c:v>7.4389677737671564E-2</c:v>
                </c:pt>
                <c:pt idx="103">
                  <c:v>7.2046894961370317E-2</c:v>
                </c:pt>
                <c:pt idx="104">
                  <c:v>7.0062943275160675E-2</c:v>
                </c:pt>
                <c:pt idx="105">
                  <c:v>6.7877281399762429E-2</c:v>
                </c:pt>
                <c:pt idx="106">
                  <c:v>6.6231535932571292E-2</c:v>
                </c:pt>
                <c:pt idx="107">
                  <c:v>6.4391087710813935E-2</c:v>
                </c:pt>
                <c:pt idx="108">
                  <c:v>6.281853756546861E-2</c:v>
                </c:pt>
                <c:pt idx="109">
                  <c:v>6.10444729452101E-2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0A0-4612-8CCF-F4038B095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016928"/>
        <c:axId val="506015752"/>
      </c:scatterChart>
      <c:valAx>
        <c:axId val="50601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Square</a:t>
                </a:r>
                <a:r>
                  <a:rPr lang="en-US" baseline="0"/>
                  <a:t> Wave Amplitude, </a:t>
                </a:r>
                <a:r>
                  <a:rPr lang="en-US" i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</a:t>
                </a:r>
                <a:r>
                  <a:rPr lang="en-US" baseline="0"/>
                  <a:t> (Vrms)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15752"/>
        <c:crosses val="autoZero"/>
        <c:crossBetween val="midCat"/>
      </c:valAx>
      <c:valAx>
        <c:axId val="50601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retaradnace, </a:t>
                </a:r>
                <a:r>
                  <a:rPr lang="en-US" i="1">
                    <a:latin typeface="Symbol" panose="05050102010706020507" pitchFamily="18" charset="2"/>
                  </a:rPr>
                  <a:t>d</a:t>
                </a:r>
                <a:r>
                  <a:rPr lang="en-US"/>
                  <a:t>  (waves)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66485491396908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01692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'LCVR 521'!$B$1</c:f>
              <c:strCache>
                <c:ptCount val="1"/>
                <c:pt idx="0">
                  <c:v>I 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'LCVR 521'!$A$2:$A$113</c:f>
              <c:numCache>
                <c:formatCode>General</c:formatCode>
                <c:ptCount val="112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8.1999999999999869</c:v>
                </c:pt>
                <c:pt idx="81">
                  <c:v>8.3999999999999861</c:v>
                </c:pt>
                <c:pt idx="82">
                  <c:v>8.5999999999999854</c:v>
                </c:pt>
                <c:pt idx="83">
                  <c:v>8.7999999999999847</c:v>
                </c:pt>
                <c:pt idx="84">
                  <c:v>8.999999999999984</c:v>
                </c:pt>
                <c:pt idx="85">
                  <c:v>9.1999999999999833</c:v>
                </c:pt>
                <c:pt idx="86">
                  <c:v>9.3999999999999826</c:v>
                </c:pt>
                <c:pt idx="87">
                  <c:v>9.5999999999999819</c:v>
                </c:pt>
                <c:pt idx="88">
                  <c:v>9.7999999999999812</c:v>
                </c:pt>
                <c:pt idx="89">
                  <c:v>9.9999999999999805</c:v>
                </c:pt>
                <c:pt idx="90">
                  <c:v>10.49999999999998</c:v>
                </c:pt>
                <c:pt idx="91">
                  <c:v>10.99999999999998</c:v>
                </c:pt>
                <c:pt idx="92">
                  <c:v>11.49999999999998</c:v>
                </c:pt>
                <c:pt idx="93">
                  <c:v>11.99999999999998</c:v>
                </c:pt>
                <c:pt idx="94">
                  <c:v>12.49999999999998</c:v>
                </c:pt>
                <c:pt idx="95">
                  <c:v>12.99999999999998</c:v>
                </c:pt>
                <c:pt idx="96">
                  <c:v>13.49999999999998</c:v>
                </c:pt>
                <c:pt idx="97">
                  <c:v>13.99999999999998</c:v>
                </c:pt>
                <c:pt idx="98">
                  <c:v>14.49999999999998</c:v>
                </c:pt>
                <c:pt idx="99">
                  <c:v>14.99999999999998</c:v>
                </c:pt>
                <c:pt idx="100">
                  <c:v>15.49999999999998</c:v>
                </c:pt>
                <c:pt idx="101">
                  <c:v>15.99999999999998</c:v>
                </c:pt>
                <c:pt idx="102">
                  <c:v>16.499999999999979</c:v>
                </c:pt>
                <c:pt idx="103">
                  <c:v>16.999999999999979</c:v>
                </c:pt>
                <c:pt idx="104">
                  <c:v>17.499999999999979</c:v>
                </c:pt>
                <c:pt idx="105">
                  <c:v>17.999999999999979</c:v>
                </c:pt>
                <c:pt idx="106">
                  <c:v>18.499999999999979</c:v>
                </c:pt>
                <c:pt idx="107">
                  <c:v>18.999999999999979</c:v>
                </c:pt>
                <c:pt idx="108">
                  <c:v>19.499999999999979</c:v>
                </c:pt>
                <c:pt idx="109">
                  <c:v>19.999999999999979</c:v>
                </c:pt>
              </c:numCache>
            </c:numRef>
          </c:xVal>
          <c:yVal>
            <c:numRef>
              <c:f>'LCVR 521'!$B$2:$B$113</c:f>
              <c:numCache>
                <c:formatCode>General</c:formatCode>
                <c:ptCount val="112"/>
                <c:pt idx="0">
                  <c:v>0.14399999999999999</c:v>
                </c:pt>
                <c:pt idx="1">
                  <c:v>0.14399999999999999</c:v>
                </c:pt>
                <c:pt idx="2">
                  <c:v>0.14399999999999999</c:v>
                </c:pt>
                <c:pt idx="3">
                  <c:v>0.14399999999999999</c:v>
                </c:pt>
                <c:pt idx="4">
                  <c:v>0.14419999999999999</c:v>
                </c:pt>
                <c:pt idx="5">
                  <c:v>0.1444</c:v>
                </c:pt>
                <c:pt idx="6">
                  <c:v>0.14460000000000001</c:v>
                </c:pt>
                <c:pt idx="7">
                  <c:v>0.14499999999999999</c:v>
                </c:pt>
                <c:pt idx="8">
                  <c:v>0.14530000000000001</c:v>
                </c:pt>
                <c:pt idx="9">
                  <c:v>0.14580000000000001</c:v>
                </c:pt>
                <c:pt idx="10">
                  <c:v>0.1467</c:v>
                </c:pt>
                <c:pt idx="11">
                  <c:v>0.14799999999999999</c:v>
                </c:pt>
                <c:pt idx="12">
                  <c:v>0.15010000000000001</c:v>
                </c:pt>
                <c:pt idx="13">
                  <c:v>0.154</c:v>
                </c:pt>
                <c:pt idx="14">
                  <c:v>0.16020000000000001</c:v>
                </c:pt>
                <c:pt idx="15">
                  <c:v>0.16969999999999999</c:v>
                </c:pt>
                <c:pt idx="16">
                  <c:v>0.18310000000000001</c:v>
                </c:pt>
                <c:pt idx="17">
                  <c:v>0.19919999999999999</c:v>
                </c:pt>
                <c:pt idx="18">
                  <c:v>0.21690000000000001</c:v>
                </c:pt>
                <c:pt idx="19">
                  <c:v>0.23580000000000001</c:v>
                </c:pt>
                <c:pt idx="20">
                  <c:v>0.25390000000000001</c:v>
                </c:pt>
                <c:pt idx="21">
                  <c:v>0.27089999999999997</c:v>
                </c:pt>
                <c:pt idx="22">
                  <c:v>0.28739999999999999</c:v>
                </c:pt>
                <c:pt idx="23">
                  <c:v>0.29970000000000002</c:v>
                </c:pt>
                <c:pt idx="24">
                  <c:v>0.30930000000000002</c:v>
                </c:pt>
                <c:pt idx="25">
                  <c:v>0.31790000000000002</c:v>
                </c:pt>
                <c:pt idx="26">
                  <c:v>0.32469999999999999</c:v>
                </c:pt>
                <c:pt idx="27">
                  <c:v>0.32769999999999999</c:v>
                </c:pt>
                <c:pt idx="28">
                  <c:v>0.3301</c:v>
                </c:pt>
                <c:pt idx="29">
                  <c:v>0.3286</c:v>
                </c:pt>
                <c:pt idx="30">
                  <c:v>0.32350000000000001</c:v>
                </c:pt>
                <c:pt idx="31">
                  <c:v>0.31830000000000003</c:v>
                </c:pt>
                <c:pt idx="32">
                  <c:v>0.31159999999999999</c:v>
                </c:pt>
                <c:pt idx="33">
                  <c:v>0.30349999999999999</c:v>
                </c:pt>
                <c:pt idx="34">
                  <c:v>0.29430000000000001</c:v>
                </c:pt>
                <c:pt idx="35">
                  <c:v>0.28399999999999997</c:v>
                </c:pt>
                <c:pt idx="36">
                  <c:v>0.27339999999999998</c:v>
                </c:pt>
                <c:pt idx="37">
                  <c:v>0.2621</c:v>
                </c:pt>
                <c:pt idx="38">
                  <c:v>0.25119999999999998</c:v>
                </c:pt>
                <c:pt idx="39">
                  <c:v>0.2397</c:v>
                </c:pt>
                <c:pt idx="40">
                  <c:v>0.2288</c:v>
                </c:pt>
                <c:pt idx="41">
                  <c:v>0.21840000000000001</c:v>
                </c:pt>
                <c:pt idx="42">
                  <c:v>0.20760000000000001</c:v>
                </c:pt>
                <c:pt idx="43">
                  <c:v>0.19750000000000001</c:v>
                </c:pt>
                <c:pt idx="44">
                  <c:v>0.18770000000000001</c:v>
                </c:pt>
                <c:pt idx="45">
                  <c:v>0.17860000000000001</c:v>
                </c:pt>
                <c:pt idx="46">
                  <c:v>0.16980000000000001</c:v>
                </c:pt>
                <c:pt idx="47">
                  <c:v>0.16159999999999999</c:v>
                </c:pt>
                <c:pt idx="48">
                  <c:v>0.15390000000000001</c:v>
                </c:pt>
                <c:pt idx="49">
                  <c:v>0.14699999999999999</c:v>
                </c:pt>
                <c:pt idx="50">
                  <c:v>0.14000000000000001</c:v>
                </c:pt>
                <c:pt idx="51">
                  <c:v>0.1331</c:v>
                </c:pt>
                <c:pt idx="52">
                  <c:v>0.12659999999999999</c:v>
                </c:pt>
                <c:pt idx="53">
                  <c:v>0.1216</c:v>
                </c:pt>
                <c:pt idx="54">
                  <c:v>0.1157</c:v>
                </c:pt>
                <c:pt idx="55">
                  <c:v>0.1111</c:v>
                </c:pt>
                <c:pt idx="56">
                  <c:v>0.10630000000000001</c:v>
                </c:pt>
                <c:pt idx="57">
                  <c:v>0.10100000000000001</c:v>
                </c:pt>
                <c:pt idx="58">
                  <c:v>9.7100000000000006E-2</c:v>
                </c:pt>
                <c:pt idx="59">
                  <c:v>9.2999999999999999E-2</c:v>
                </c:pt>
                <c:pt idx="60">
                  <c:v>8.8999999999999996E-2</c:v>
                </c:pt>
                <c:pt idx="61">
                  <c:v>8.5800000000000001E-2</c:v>
                </c:pt>
                <c:pt idx="62">
                  <c:v>8.2799999999999999E-2</c:v>
                </c:pt>
                <c:pt idx="63">
                  <c:v>7.9299999999999995E-2</c:v>
                </c:pt>
                <c:pt idx="64">
                  <c:v>7.6499999999999999E-2</c:v>
                </c:pt>
                <c:pt idx="65">
                  <c:v>7.3899999999999993E-2</c:v>
                </c:pt>
                <c:pt idx="66">
                  <c:v>7.17E-2</c:v>
                </c:pt>
                <c:pt idx="67">
                  <c:v>6.93E-2</c:v>
                </c:pt>
                <c:pt idx="68">
                  <c:v>6.6900000000000001E-2</c:v>
                </c:pt>
                <c:pt idx="69">
                  <c:v>6.4500000000000002E-2</c:v>
                </c:pt>
                <c:pt idx="70">
                  <c:v>6.2600000000000003E-2</c:v>
                </c:pt>
                <c:pt idx="71">
                  <c:v>6.0499999999999998E-2</c:v>
                </c:pt>
                <c:pt idx="72">
                  <c:v>5.8700000000000002E-2</c:v>
                </c:pt>
                <c:pt idx="73">
                  <c:v>5.6800000000000003E-2</c:v>
                </c:pt>
                <c:pt idx="74">
                  <c:v>5.5E-2</c:v>
                </c:pt>
                <c:pt idx="75">
                  <c:v>5.3400000000000003E-2</c:v>
                </c:pt>
                <c:pt idx="76">
                  <c:v>5.1799999999999999E-2</c:v>
                </c:pt>
                <c:pt idx="77">
                  <c:v>5.04E-2</c:v>
                </c:pt>
                <c:pt idx="78">
                  <c:v>4.8899999999999999E-2</c:v>
                </c:pt>
                <c:pt idx="79">
                  <c:v>4.7399999999999998E-2</c:v>
                </c:pt>
                <c:pt idx="80">
                  <c:v>4.4900000000000002E-2</c:v>
                </c:pt>
                <c:pt idx="81">
                  <c:v>4.2500000000000003E-2</c:v>
                </c:pt>
                <c:pt idx="82">
                  <c:v>4.0300000000000002E-2</c:v>
                </c:pt>
                <c:pt idx="83">
                  <c:v>3.85E-2</c:v>
                </c:pt>
                <c:pt idx="84">
                  <c:v>3.6600000000000001E-2</c:v>
                </c:pt>
                <c:pt idx="85">
                  <c:v>3.49E-2</c:v>
                </c:pt>
                <c:pt idx="86">
                  <c:v>3.3300000000000003E-2</c:v>
                </c:pt>
                <c:pt idx="87">
                  <c:v>3.1699999999999999E-2</c:v>
                </c:pt>
                <c:pt idx="88">
                  <c:v>3.0300000000000001E-2</c:v>
                </c:pt>
                <c:pt idx="89">
                  <c:v>2.9100000000000001E-2</c:v>
                </c:pt>
                <c:pt idx="90">
                  <c:v>2.6200000000000001E-2</c:v>
                </c:pt>
                <c:pt idx="91">
                  <c:v>2.3699999999999999E-2</c:v>
                </c:pt>
                <c:pt idx="92">
                  <c:v>2.1600000000000001E-2</c:v>
                </c:pt>
                <c:pt idx="93">
                  <c:v>1.9699999999999999E-2</c:v>
                </c:pt>
                <c:pt idx="94">
                  <c:v>1.8100000000000002E-2</c:v>
                </c:pt>
                <c:pt idx="95">
                  <c:v>1.67E-2</c:v>
                </c:pt>
                <c:pt idx="96">
                  <c:v>1.54E-2</c:v>
                </c:pt>
                <c:pt idx="97">
                  <c:v>1.4200000000000001E-2</c:v>
                </c:pt>
                <c:pt idx="98">
                  <c:v>1.32E-2</c:v>
                </c:pt>
                <c:pt idx="99">
                  <c:v>1.23E-2</c:v>
                </c:pt>
                <c:pt idx="100">
                  <c:v>1.15E-2</c:v>
                </c:pt>
                <c:pt idx="101">
                  <c:v>1.0699999999999999E-2</c:v>
                </c:pt>
                <c:pt idx="102">
                  <c:v>1.01E-2</c:v>
                </c:pt>
                <c:pt idx="103">
                  <c:v>9.4999999999999998E-3</c:v>
                </c:pt>
                <c:pt idx="104">
                  <c:v>8.8999999999999999E-3</c:v>
                </c:pt>
                <c:pt idx="105">
                  <c:v>8.3999999999999995E-3</c:v>
                </c:pt>
                <c:pt idx="106">
                  <c:v>8.0000000000000002E-3</c:v>
                </c:pt>
                <c:pt idx="107">
                  <c:v>7.4999999999999997E-3</c:v>
                </c:pt>
                <c:pt idx="108">
                  <c:v>7.1000000000000004E-3</c:v>
                </c:pt>
                <c:pt idx="109">
                  <c:v>6.7999999999999996E-3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6-4FD2-991B-60E4FC474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381536"/>
        <c:axId val="420381144"/>
      </c:scatterChart>
      <c:valAx>
        <c:axId val="42038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81144"/>
        <c:crosses val="autoZero"/>
        <c:crossBetween val="midCat"/>
      </c:valAx>
      <c:valAx>
        <c:axId val="42038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8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521'!$H$1</c:f>
              <c:strCache>
                <c:ptCount val="1"/>
                <c:pt idx="0">
                  <c:v>I_raw 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521'!$G$2:$G$113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521'!$H$2:$H$113</c:f>
              <c:numCache>
                <c:formatCode>General</c:formatCode>
                <c:ptCount val="112"/>
                <c:pt idx="0">
                  <c:v>0.14399999999999999</c:v>
                </c:pt>
                <c:pt idx="1">
                  <c:v>0.14399999999999999</c:v>
                </c:pt>
                <c:pt idx="2">
                  <c:v>0.14399999999999999</c:v>
                </c:pt>
                <c:pt idx="3">
                  <c:v>0.14399999999999999</c:v>
                </c:pt>
                <c:pt idx="4">
                  <c:v>0.14419999999999999</c:v>
                </c:pt>
                <c:pt idx="5">
                  <c:v>0.1444</c:v>
                </c:pt>
                <c:pt idx="6">
                  <c:v>0.14460000000000001</c:v>
                </c:pt>
                <c:pt idx="7">
                  <c:v>0.14499999999999999</c:v>
                </c:pt>
                <c:pt idx="8">
                  <c:v>0.14530000000000001</c:v>
                </c:pt>
                <c:pt idx="9">
                  <c:v>0.14580000000000001</c:v>
                </c:pt>
                <c:pt idx="10">
                  <c:v>0.1467</c:v>
                </c:pt>
                <c:pt idx="11">
                  <c:v>0.14799999999999999</c:v>
                </c:pt>
                <c:pt idx="12">
                  <c:v>0.15010000000000001</c:v>
                </c:pt>
                <c:pt idx="13">
                  <c:v>0.154</c:v>
                </c:pt>
                <c:pt idx="14">
                  <c:v>0.16020000000000001</c:v>
                </c:pt>
                <c:pt idx="15">
                  <c:v>0.16969999999999999</c:v>
                </c:pt>
                <c:pt idx="16">
                  <c:v>0.18310000000000001</c:v>
                </c:pt>
                <c:pt idx="17">
                  <c:v>0.19919999999999999</c:v>
                </c:pt>
                <c:pt idx="18">
                  <c:v>0.21690000000000001</c:v>
                </c:pt>
                <c:pt idx="19">
                  <c:v>0.23580000000000001</c:v>
                </c:pt>
                <c:pt idx="20">
                  <c:v>0.25390000000000001</c:v>
                </c:pt>
                <c:pt idx="21">
                  <c:v>0.27089999999999997</c:v>
                </c:pt>
                <c:pt idx="22">
                  <c:v>0.28739999999999999</c:v>
                </c:pt>
                <c:pt idx="23">
                  <c:v>0.29970000000000002</c:v>
                </c:pt>
                <c:pt idx="24">
                  <c:v>0.30930000000000002</c:v>
                </c:pt>
                <c:pt idx="25">
                  <c:v>0.31790000000000002</c:v>
                </c:pt>
                <c:pt idx="26">
                  <c:v>0.32469999999999999</c:v>
                </c:pt>
                <c:pt idx="27">
                  <c:v>0.32769999999999999</c:v>
                </c:pt>
                <c:pt idx="28">
                  <c:v>0.3301</c:v>
                </c:pt>
                <c:pt idx="29">
                  <c:v>0.3286</c:v>
                </c:pt>
                <c:pt idx="30">
                  <c:v>0.32350000000000001</c:v>
                </c:pt>
                <c:pt idx="31">
                  <c:v>0.31830000000000003</c:v>
                </c:pt>
                <c:pt idx="32">
                  <c:v>0.31159999999999999</c:v>
                </c:pt>
                <c:pt idx="33">
                  <c:v>0.30349999999999999</c:v>
                </c:pt>
                <c:pt idx="34">
                  <c:v>0.29430000000000001</c:v>
                </c:pt>
                <c:pt idx="35">
                  <c:v>0.28399999999999997</c:v>
                </c:pt>
                <c:pt idx="36">
                  <c:v>0.27339999999999998</c:v>
                </c:pt>
                <c:pt idx="37">
                  <c:v>0.2621</c:v>
                </c:pt>
                <c:pt idx="38">
                  <c:v>0.25119999999999998</c:v>
                </c:pt>
                <c:pt idx="39">
                  <c:v>0.2397</c:v>
                </c:pt>
                <c:pt idx="40">
                  <c:v>0.2288</c:v>
                </c:pt>
                <c:pt idx="41">
                  <c:v>0.21840000000000001</c:v>
                </c:pt>
                <c:pt idx="42">
                  <c:v>0.20760000000000001</c:v>
                </c:pt>
                <c:pt idx="43">
                  <c:v>0.19750000000000001</c:v>
                </c:pt>
                <c:pt idx="44">
                  <c:v>0.18770000000000001</c:v>
                </c:pt>
                <c:pt idx="45">
                  <c:v>0.17860000000000001</c:v>
                </c:pt>
                <c:pt idx="46">
                  <c:v>0.16980000000000001</c:v>
                </c:pt>
                <c:pt idx="47">
                  <c:v>0.16159999999999999</c:v>
                </c:pt>
                <c:pt idx="48">
                  <c:v>0.15390000000000001</c:v>
                </c:pt>
                <c:pt idx="49">
                  <c:v>0.14699999999999999</c:v>
                </c:pt>
                <c:pt idx="50">
                  <c:v>0.14000000000000001</c:v>
                </c:pt>
                <c:pt idx="51">
                  <c:v>0.1331</c:v>
                </c:pt>
                <c:pt idx="52">
                  <c:v>0.12659999999999999</c:v>
                </c:pt>
                <c:pt idx="53">
                  <c:v>0.1216</c:v>
                </c:pt>
                <c:pt idx="54">
                  <c:v>0.1157</c:v>
                </c:pt>
                <c:pt idx="55">
                  <c:v>0.1111</c:v>
                </c:pt>
                <c:pt idx="56">
                  <c:v>0.10630000000000001</c:v>
                </c:pt>
                <c:pt idx="57">
                  <c:v>0.10100000000000001</c:v>
                </c:pt>
                <c:pt idx="58">
                  <c:v>9.7100000000000006E-2</c:v>
                </c:pt>
                <c:pt idx="59">
                  <c:v>9.2999999999999999E-2</c:v>
                </c:pt>
                <c:pt idx="60">
                  <c:v>8.8999999999999996E-2</c:v>
                </c:pt>
                <c:pt idx="61">
                  <c:v>8.5800000000000001E-2</c:v>
                </c:pt>
                <c:pt idx="62">
                  <c:v>8.2799999999999999E-2</c:v>
                </c:pt>
                <c:pt idx="63">
                  <c:v>7.9299999999999995E-2</c:v>
                </c:pt>
                <c:pt idx="64">
                  <c:v>7.6499999999999999E-2</c:v>
                </c:pt>
                <c:pt idx="65">
                  <c:v>7.3899999999999993E-2</c:v>
                </c:pt>
                <c:pt idx="66">
                  <c:v>7.17E-2</c:v>
                </c:pt>
                <c:pt idx="67">
                  <c:v>6.93E-2</c:v>
                </c:pt>
                <c:pt idx="68">
                  <c:v>6.6900000000000001E-2</c:v>
                </c:pt>
                <c:pt idx="69">
                  <c:v>6.4500000000000002E-2</c:v>
                </c:pt>
                <c:pt idx="70">
                  <c:v>6.2600000000000003E-2</c:v>
                </c:pt>
                <c:pt idx="71">
                  <c:v>6.0499999999999998E-2</c:v>
                </c:pt>
                <c:pt idx="72">
                  <c:v>5.8700000000000002E-2</c:v>
                </c:pt>
                <c:pt idx="73">
                  <c:v>5.6800000000000003E-2</c:v>
                </c:pt>
                <c:pt idx="74">
                  <c:v>5.5E-2</c:v>
                </c:pt>
                <c:pt idx="75">
                  <c:v>5.3400000000000003E-2</c:v>
                </c:pt>
                <c:pt idx="76">
                  <c:v>5.1799999999999999E-2</c:v>
                </c:pt>
                <c:pt idx="77">
                  <c:v>5.04E-2</c:v>
                </c:pt>
                <c:pt idx="78">
                  <c:v>4.8899999999999999E-2</c:v>
                </c:pt>
                <c:pt idx="79">
                  <c:v>4.7399999999999998E-2</c:v>
                </c:pt>
                <c:pt idx="80">
                  <c:v>4.4900000000000002E-2</c:v>
                </c:pt>
                <c:pt idx="81">
                  <c:v>4.2500000000000003E-2</c:v>
                </c:pt>
                <c:pt idx="82">
                  <c:v>4.0300000000000002E-2</c:v>
                </c:pt>
                <c:pt idx="83">
                  <c:v>3.85E-2</c:v>
                </c:pt>
                <c:pt idx="84">
                  <c:v>3.6600000000000001E-2</c:v>
                </c:pt>
                <c:pt idx="85">
                  <c:v>3.49E-2</c:v>
                </c:pt>
                <c:pt idx="86">
                  <c:v>3.3300000000000003E-2</c:v>
                </c:pt>
                <c:pt idx="87">
                  <c:v>3.1699999999999999E-2</c:v>
                </c:pt>
                <c:pt idx="88">
                  <c:v>3.0300000000000001E-2</c:v>
                </c:pt>
                <c:pt idx="89">
                  <c:v>2.9100000000000001E-2</c:v>
                </c:pt>
                <c:pt idx="90">
                  <c:v>2.6200000000000001E-2</c:v>
                </c:pt>
                <c:pt idx="91">
                  <c:v>2.3699999999999999E-2</c:v>
                </c:pt>
                <c:pt idx="92">
                  <c:v>2.1600000000000001E-2</c:v>
                </c:pt>
                <c:pt idx="93">
                  <c:v>1.9699999999999999E-2</c:v>
                </c:pt>
                <c:pt idx="94">
                  <c:v>1.8100000000000002E-2</c:v>
                </c:pt>
                <c:pt idx="95">
                  <c:v>1.67E-2</c:v>
                </c:pt>
                <c:pt idx="96">
                  <c:v>1.54E-2</c:v>
                </c:pt>
                <c:pt idx="97">
                  <c:v>1.4200000000000001E-2</c:v>
                </c:pt>
                <c:pt idx="98">
                  <c:v>1.32E-2</c:v>
                </c:pt>
                <c:pt idx="99">
                  <c:v>1.23E-2</c:v>
                </c:pt>
                <c:pt idx="100">
                  <c:v>1.15E-2</c:v>
                </c:pt>
                <c:pt idx="101">
                  <c:v>1.0699999999999999E-2</c:v>
                </c:pt>
                <c:pt idx="102">
                  <c:v>1.01E-2</c:v>
                </c:pt>
                <c:pt idx="103">
                  <c:v>9.4999999999999998E-3</c:v>
                </c:pt>
                <c:pt idx="104">
                  <c:v>8.8999999999999999E-3</c:v>
                </c:pt>
                <c:pt idx="105">
                  <c:v>8.3999999999999995E-3</c:v>
                </c:pt>
                <c:pt idx="106">
                  <c:v>8.0000000000000002E-3</c:v>
                </c:pt>
                <c:pt idx="107">
                  <c:v>7.4999999999999997E-3</c:v>
                </c:pt>
                <c:pt idx="108">
                  <c:v>7.1000000000000004E-3</c:v>
                </c:pt>
                <c:pt idx="109">
                  <c:v>6.7999999999999996E-3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1B-4523-975F-81D26EFE4824}"/>
            </c:ext>
          </c:extLst>
        </c:ser>
        <c:ser>
          <c:idx val="1"/>
          <c:order val="1"/>
          <c:tx>
            <c:strRef>
              <c:f>'LCVR 521'!$I$1</c:f>
              <c:strCache>
                <c:ptCount val="1"/>
                <c:pt idx="0">
                  <c:v>I_normed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'LCVR 521'!$G$2:$G$113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521'!$I$2:$I$113</c:f>
              <c:numCache>
                <c:formatCode>General</c:formatCode>
                <c:ptCount val="112"/>
                <c:pt idx="0">
                  <c:v>0.14399999999999999</c:v>
                </c:pt>
                <c:pt idx="1">
                  <c:v>0.14406030150753768</c:v>
                </c:pt>
                <c:pt idx="2">
                  <c:v>0.14406030150753768</c:v>
                </c:pt>
                <c:pt idx="3">
                  <c:v>0.14412065354000836</c:v>
                </c:pt>
                <c:pt idx="4">
                  <c:v>0.144381307627829</c:v>
                </c:pt>
                <c:pt idx="5">
                  <c:v>0.14452098868873062</c:v>
                </c:pt>
                <c:pt idx="6">
                  <c:v>0.14490327181208054</c:v>
                </c:pt>
                <c:pt idx="7">
                  <c:v>0.14524318658280921</c:v>
                </c:pt>
                <c:pt idx="8">
                  <c:v>0.14572699412258608</c:v>
                </c:pt>
                <c:pt idx="9">
                  <c:v>0.14598331936295053</c:v>
                </c:pt>
                <c:pt idx="10">
                  <c:v>0.14725474789915968</c:v>
                </c:pt>
                <c:pt idx="11">
                  <c:v>0.14874716028607488</c:v>
                </c:pt>
                <c:pt idx="12">
                  <c:v>0.15130333333333337</c:v>
                </c:pt>
                <c:pt idx="13">
                  <c:v>0.15595845697329377</c:v>
                </c:pt>
                <c:pt idx="14">
                  <c:v>0.16203124470787472</c:v>
                </c:pt>
                <c:pt idx="15">
                  <c:v>0.1710604641350211</c:v>
                </c:pt>
                <c:pt idx="16">
                  <c:v>0.18449004639392663</c:v>
                </c:pt>
                <c:pt idx="17">
                  <c:v>0.20003732660781842</c:v>
                </c:pt>
                <c:pt idx="18">
                  <c:v>0.21900849535080305</c:v>
                </c:pt>
                <c:pt idx="19">
                  <c:v>0.2390013576580399</c:v>
                </c:pt>
                <c:pt idx="20">
                  <c:v>0.25756564755838646</c:v>
                </c:pt>
                <c:pt idx="21">
                  <c:v>0.27481108280254773</c:v>
                </c:pt>
                <c:pt idx="22">
                  <c:v>0.29254307626757564</c:v>
                </c:pt>
                <c:pt idx="23">
                  <c:v>0.30376890114552396</c:v>
                </c:pt>
                <c:pt idx="24">
                  <c:v>0.31112324210526321</c:v>
                </c:pt>
                <c:pt idx="25">
                  <c:v>0.32112604651162796</c:v>
                </c:pt>
                <c:pt idx="26">
                  <c:v>0.32744124102997041</c:v>
                </c:pt>
                <c:pt idx="27">
                  <c:v>0.3300486087689713</c:v>
                </c:pt>
                <c:pt idx="28">
                  <c:v>0.33429796523950828</c:v>
                </c:pt>
                <c:pt idx="29">
                  <c:v>0.33277888935989824</c:v>
                </c:pt>
                <c:pt idx="30">
                  <c:v>0.32404255765199164</c:v>
                </c:pt>
                <c:pt idx="31">
                  <c:v>0.31923539042821164</c:v>
                </c:pt>
                <c:pt idx="32">
                  <c:v>0.31290979403110547</c:v>
                </c:pt>
                <c:pt idx="33">
                  <c:v>0.30554635482511588</c:v>
                </c:pt>
                <c:pt idx="34">
                  <c:v>0.2962843236409608</c:v>
                </c:pt>
                <c:pt idx="35">
                  <c:v>0.2856741052631579</c:v>
                </c:pt>
                <c:pt idx="36">
                  <c:v>0.2751274641954507</c:v>
                </c:pt>
                <c:pt idx="37">
                  <c:v>0.26420122362869203</c:v>
                </c:pt>
                <c:pt idx="38">
                  <c:v>0.25374917547568709</c:v>
                </c:pt>
                <c:pt idx="39">
                  <c:v>0.24121453243470936</c:v>
                </c:pt>
                <c:pt idx="40">
                  <c:v>0.23053698861239982</c:v>
                </c:pt>
                <c:pt idx="41">
                  <c:v>0.22033682432432433</c:v>
                </c:pt>
                <c:pt idx="42">
                  <c:v>0.20899974715549938</c:v>
                </c:pt>
                <c:pt idx="43">
                  <c:v>0.19883164770332912</c:v>
                </c:pt>
                <c:pt idx="44">
                  <c:v>0.18880644210526318</c:v>
                </c:pt>
                <c:pt idx="45">
                  <c:v>0.17972847514743051</c:v>
                </c:pt>
                <c:pt idx="46">
                  <c:v>0.17087287278854255</c:v>
                </c:pt>
                <c:pt idx="47">
                  <c:v>0.16268959123472396</c:v>
                </c:pt>
                <c:pt idx="48">
                  <c:v>0.15493767383059417</c:v>
                </c:pt>
                <c:pt idx="49">
                  <c:v>0.14849175475687104</c:v>
                </c:pt>
                <c:pt idx="50">
                  <c:v>0.14124155405405406</c:v>
                </c:pt>
                <c:pt idx="51">
                  <c:v>0.1339409856781803</c:v>
                </c:pt>
                <c:pt idx="52">
                  <c:v>0.12723912494741271</c:v>
                </c:pt>
                <c:pt idx="53">
                  <c:v>0.1228339957716702</c:v>
                </c:pt>
                <c:pt idx="54">
                  <c:v>0.11667678345293372</c:v>
                </c:pt>
                <c:pt idx="55">
                  <c:v>0.11246521186440679</c:v>
                </c:pt>
                <c:pt idx="56">
                  <c:v>0.10769749787955896</c:v>
                </c:pt>
                <c:pt idx="57">
                  <c:v>0.10168099452170248</c:v>
                </c:pt>
                <c:pt idx="58">
                  <c:v>9.775469869363676E-2</c:v>
                </c:pt>
                <c:pt idx="59">
                  <c:v>9.3666526138279929E-2</c:v>
                </c:pt>
                <c:pt idx="60">
                  <c:v>8.9562342038753157E-2</c:v>
                </c:pt>
                <c:pt idx="61">
                  <c:v>8.6487848101265835E-2</c:v>
                </c:pt>
                <c:pt idx="62">
                  <c:v>8.33582806573957E-2</c:v>
                </c:pt>
                <c:pt idx="63">
                  <c:v>7.9969480793583791E-2</c:v>
                </c:pt>
                <c:pt idx="64">
                  <c:v>7.7309010152284266E-2</c:v>
                </c:pt>
                <c:pt idx="65">
                  <c:v>7.4681514382402697E-2</c:v>
                </c:pt>
                <c:pt idx="66">
                  <c:v>7.2766057774001691E-2</c:v>
                </c:pt>
                <c:pt idx="67">
                  <c:v>7.0480076628352498E-2</c:v>
                </c:pt>
                <c:pt idx="68">
                  <c:v>6.8010255319148935E-2</c:v>
                </c:pt>
                <c:pt idx="69">
                  <c:v>6.5486825329366768E-2</c:v>
                </c:pt>
                <c:pt idx="70">
                  <c:v>6.3747399829497023E-2</c:v>
                </c:pt>
                <c:pt idx="71">
                  <c:v>6.1608908780903665E-2</c:v>
                </c:pt>
                <c:pt idx="72">
                  <c:v>5.975044737963358E-2</c:v>
                </c:pt>
                <c:pt idx="73">
                  <c:v>5.7841091219096342E-2</c:v>
                </c:pt>
                <c:pt idx="74">
                  <c:v>5.5984235193864508E-2</c:v>
                </c:pt>
                <c:pt idx="75">
                  <c:v>5.4378772378516627E-2</c:v>
                </c:pt>
                <c:pt idx="76">
                  <c:v>5.2749445865302641E-2</c:v>
                </c:pt>
                <c:pt idx="77">
                  <c:v>5.1323785166240414E-2</c:v>
                </c:pt>
                <c:pt idx="78">
                  <c:v>4.9775074563272265E-2</c:v>
                </c:pt>
                <c:pt idx="79">
                  <c:v>4.8186638297872342E-2</c:v>
                </c:pt>
                <c:pt idx="80">
                  <c:v>4.5684028960817719E-2</c:v>
                </c:pt>
                <c:pt idx="81">
                  <c:v>4.3260545377077124E-2</c:v>
                </c:pt>
                <c:pt idx="82">
                  <c:v>4.1021175969322546E-2</c:v>
                </c:pt>
                <c:pt idx="83">
                  <c:v>3.9239121160409555E-2</c:v>
                </c:pt>
                <c:pt idx="84">
                  <c:v>3.7318565941101153E-2</c:v>
                </c:pt>
                <c:pt idx="85">
                  <c:v>3.557000853242321E-2</c:v>
                </c:pt>
                <c:pt idx="86">
                  <c:v>3.3953777208706792E-2</c:v>
                </c:pt>
                <c:pt idx="87">
                  <c:v>3.2294797441364605E-2</c:v>
                </c:pt>
                <c:pt idx="88">
                  <c:v>3.0868528784648189E-2</c:v>
                </c:pt>
                <c:pt idx="89">
                  <c:v>2.9671318822023045E-2</c:v>
                </c:pt>
                <c:pt idx="90">
                  <c:v>2.6748632478632479E-2</c:v>
                </c:pt>
                <c:pt idx="91">
                  <c:v>2.4206626763574178E-2</c:v>
                </c:pt>
                <c:pt idx="92">
                  <c:v>2.2042887654848357E-2</c:v>
                </c:pt>
                <c:pt idx="93">
                  <c:v>2.0069637526652452E-2</c:v>
                </c:pt>
                <c:pt idx="94">
                  <c:v>1.8447482935153584E-2</c:v>
                </c:pt>
                <c:pt idx="95">
                  <c:v>1.7042417770183681E-2</c:v>
                </c:pt>
                <c:pt idx="96">
                  <c:v>1.5695648464163822E-2</c:v>
                </c:pt>
                <c:pt idx="97">
                  <c:v>1.4472610921501709E-2</c:v>
                </c:pt>
                <c:pt idx="98">
                  <c:v>1.3441943734015346E-2</c:v>
                </c:pt>
                <c:pt idx="99">
                  <c:v>1.2525447570332479E-2</c:v>
                </c:pt>
                <c:pt idx="100">
                  <c:v>1.1715778251599147E-2</c:v>
                </c:pt>
                <c:pt idx="101">
                  <c:v>1.0905418088737202E-2</c:v>
                </c:pt>
                <c:pt idx="102">
                  <c:v>1.028950959488273E-2</c:v>
                </c:pt>
                <c:pt idx="103">
                  <c:v>9.7030782385634888E-3</c:v>
                </c:pt>
                <c:pt idx="104">
                  <c:v>9.0747332479726838E-3</c:v>
                </c:pt>
                <c:pt idx="105">
                  <c:v>8.5612627986348111E-3</c:v>
                </c:pt>
                <c:pt idx="106">
                  <c:v>8.1640324647586499E-3</c:v>
                </c:pt>
                <c:pt idx="107">
                  <c:v>7.6603249251817017E-3</c:v>
                </c:pt>
                <c:pt idx="108">
                  <c:v>7.2517742625053455E-3</c:v>
                </c:pt>
                <c:pt idx="109">
                  <c:v>6.9453612654980764E-3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1B-4523-975F-81D26EFE4824}"/>
            </c:ext>
          </c:extLst>
        </c:ser>
        <c:ser>
          <c:idx val="2"/>
          <c:order val="2"/>
          <c:tx>
            <c:strRef>
              <c:f>'LCVR 521'!$J$1</c:f>
              <c:strCache>
                <c:ptCount val="1"/>
                <c:pt idx="0">
                  <c:v>f (rad)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'LCVR 521'!$G$2:$G$113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521'!$J$2:$J$113</c:f>
              <c:numCache>
                <c:formatCode>General</c:formatCode>
                <c:ptCount val="112"/>
                <c:pt idx="0">
                  <c:v>1.4318566260711307</c:v>
                </c:pt>
                <c:pt idx="1">
                  <c:v>1.4322208922077839</c:v>
                </c:pt>
                <c:pt idx="2">
                  <c:v>1.4322208922077839</c:v>
                </c:pt>
                <c:pt idx="3">
                  <c:v>1.4325854450242921</c:v>
                </c:pt>
                <c:pt idx="4">
                  <c:v>1.4341596986747573</c:v>
                </c:pt>
                <c:pt idx="5">
                  <c:v>1.4350031798205269</c:v>
                </c:pt>
                <c:pt idx="6">
                  <c:v>1.4373111479967537</c:v>
                </c:pt>
                <c:pt idx="7">
                  <c:v>1.439362723591006</c:v>
                </c:pt>
                <c:pt idx="8">
                  <c:v>1.4422818153565178</c:v>
                </c:pt>
                <c:pt idx="9">
                  <c:v>1.4438279266071941</c:v>
                </c:pt>
                <c:pt idx="10">
                  <c:v>1.4514925377972707</c:v>
                </c:pt>
                <c:pt idx="11">
                  <c:v>1.4604803743058345</c:v>
                </c:pt>
                <c:pt idx="12">
                  <c:v>1.4758542005393558</c:v>
                </c:pt>
                <c:pt idx="13">
                  <c:v>1.5037968026758595</c:v>
                </c:pt>
                <c:pt idx="14">
                  <c:v>1.540173718305333</c:v>
                </c:pt>
                <c:pt idx="15">
                  <c:v>1.5941996316754548</c:v>
                </c:pt>
                <c:pt idx="16">
                  <c:v>1.6747294939919051</c:v>
                </c:pt>
                <c:pt idx="17">
                  <c:v>1.7688492179516457</c:v>
                </c:pt>
                <c:pt idx="18">
                  <c:v>1.8862620216118846</c:v>
                </c:pt>
                <c:pt idx="19">
                  <c:v>2.0151453943192581</c:v>
                </c:pt>
                <c:pt idx="20">
                  <c:v>2.142344228111468</c:v>
                </c:pt>
                <c:pt idx="21">
                  <c:v>2.2706537316749715</c:v>
                </c:pt>
                <c:pt idx="22">
                  <c:v>2.41915111965388</c:v>
                </c:pt>
                <c:pt idx="23">
                  <c:v>2.5275999026651803</c:v>
                </c:pt>
                <c:pt idx="24">
                  <c:v>2.6087231517644089</c:v>
                </c:pt>
                <c:pt idx="25">
                  <c:v>2.7419408613184926</c:v>
                </c:pt>
                <c:pt idx="26">
                  <c:v>2.8541723885303227</c:v>
                </c:pt>
                <c:pt idx="27">
                  <c:v>2.9156235288324668</c:v>
                </c:pt>
                <c:pt idx="28">
                  <c:v>3.1415926535897931</c:v>
                </c:pt>
                <c:pt idx="29">
                  <c:v>3.0066707923200182</c:v>
                </c:pt>
                <c:pt idx="30">
                  <c:v>2.7894768580113296</c:v>
                </c:pt>
                <c:pt idx="31">
                  <c:v>2.7138039068309832</c:v>
                </c:pt>
                <c:pt idx="32">
                  <c:v>2.6301539697516794</c:v>
                </c:pt>
                <c:pt idx="33">
                  <c:v>2.5463065866836878</c:v>
                </c:pt>
                <c:pt idx="34">
                  <c:v>2.4536851713860974</c:v>
                </c:pt>
                <c:pt idx="35">
                  <c:v>2.3590154406275818</c:v>
                </c:pt>
                <c:pt idx="36">
                  <c:v>2.2731307933109681</c:v>
                </c:pt>
                <c:pt idx="37">
                  <c:v>2.1903024748670021</c:v>
                </c:pt>
                <c:pt idx="38">
                  <c:v>2.1154265215240384</c:v>
                </c:pt>
                <c:pt idx="39">
                  <c:v>2.0298623061607834</c:v>
                </c:pt>
                <c:pt idx="40">
                  <c:v>1.9597609500684845</c:v>
                </c:pt>
                <c:pt idx="41">
                  <c:v>1.8946330549824379</c:v>
                </c:pt>
                <c:pt idx="42">
                  <c:v>1.8238690781577511</c:v>
                </c:pt>
                <c:pt idx="43">
                  <c:v>1.7614975574080665</c:v>
                </c:pt>
                <c:pt idx="44">
                  <c:v>1.7007314322982499</c:v>
                </c:pt>
                <c:pt idx="45">
                  <c:v>1.646126715396621</c:v>
                </c:pt>
                <c:pt idx="46">
                  <c:v>1.5930770385096864</c:v>
                </c:pt>
                <c:pt idx="47">
                  <c:v>1.5441140191929188</c:v>
                </c:pt>
                <c:pt idx="48">
                  <c:v>1.4976747485304314</c:v>
                </c:pt>
                <c:pt idx="49">
                  <c:v>1.4589428864825136</c:v>
                </c:pt>
                <c:pt idx="50">
                  <c:v>1.4151728929782332</c:v>
                </c:pt>
                <c:pt idx="51">
                  <c:v>1.3707925395129141</c:v>
                </c:pt>
                <c:pt idx="52">
                  <c:v>1.3296991878901172</c:v>
                </c:pt>
                <c:pt idx="53">
                  <c:v>1.3024651697987699</c:v>
                </c:pt>
                <c:pt idx="54">
                  <c:v>1.2640490442311063</c:v>
                </c:pt>
                <c:pt idx="55">
                  <c:v>1.2375040820616829</c:v>
                </c:pt>
                <c:pt idx="56">
                  <c:v>1.2071552008710893</c:v>
                </c:pt>
                <c:pt idx="57">
                  <c:v>1.1683455738473816</c:v>
                </c:pt>
                <c:pt idx="58">
                  <c:v>1.142672973835456</c:v>
                </c:pt>
                <c:pt idx="59">
                  <c:v>1.1156179706729439</c:v>
                </c:pt>
                <c:pt idx="60">
                  <c:v>1.0880915972409482</c:v>
                </c:pt>
                <c:pt idx="61">
                  <c:v>1.0672093693097122</c:v>
                </c:pt>
                <c:pt idx="62">
                  <c:v>1.0457032771363641</c:v>
                </c:pt>
                <c:pt idx="63">
                  <c:v>1.0221090518739477</c:v>
                </c:pt>
                <c:pt idx="64">
                  <c:v>1.0033451861538376</c:v>
                </c:pt>
                <c:pt idx="65">
                  <c:v>0.98459097772198634</c:v>
                </c:pt>
                <c:pt idx="66">
                  <c:v>0.97077088422559354</c:v>
                </c:pt>
                <c:pt idx="67">
                  <c:v>0.95410419868559204</c:v>
                </c:pt>
                <c:pt idx="68">
                  <c:v>0.93587279764950482</c:v>
                </c:pt>
                <c:pt idx="69">
                  <c:v>0.9169891563081457</c:v>
                </c:pt>
                <c:pt idx="70">
                  <c:v>0.90381217799635305</c:v>
                </c:pt>
                <c:pt idx="71">
                  <c:v>0.88742203182515633</c:v>
                </c:pt>
                <c:pt idx="72">
                  <c:v>0.87299852623120544</c:v>
                </c:pt>
                <c:pt idx="73">
                  <c:v>0.85799600309606727</c:v>
                </c:pt>
                <c:pt idx="74">
                  <c:v>0.84321700019042523</c:v>
                </c:pt>
                <c:pt idx="75">
                  <c:v>0.83028036939164251</c:v>
                </c:pt>
                <c:pt idx="76">
                  <c:v>0.81699311639354666</c:v>
                </c:pt>
                <c:pt idx="77">
                  <c:v>0.80522938142347766</c:v>
                </c:pt>
                <c:pt idx="78">
                  <c:v>0.79229764160577654</c:v>
                </c:pt>
                <c:pt idx="79">
                  <c:v>0.77886053505618136</c:v>
                </c:pt>
                <c:pt idx="80">
                  <c:v>0.75730973575200622</c:v>
                </c:pt>
                <c:pt idx="81">
                  <c:v>0.73596139831909591</c:v>
                </c:pt>
                <c:pt idx="82">
                  <c:v>0.71577767608982612</c:v>
                </c:pt>
                <c:pt idx="83">
                  <c:v>0.69937506731542498</c:v>
                </c:pt>
                <c:pt idx="84">
                  <c:v>0.68133162859507779</c:v>
                </c:pt>
                <c:pt idx="85">
                  <c:v>0.66454772992043576</c:v>
                </c:pt>
                <c:pt idx="86">
                  <c:v>0.64870774678693477</c:v>
                </c:pt>
                <c:pt idx="87">
                  <c:v>0.63209691892681741</c:v>
                </c:pt>
                <c:pt idx="88">
                  <c:v>0.61750904516187477</c:v>
                </c:pt>
                <c:pt idx="89">
                  <c:v>0.60502866335244665</c:v>
                </c:pt>
                <c:pt idx="90">
                  <c:v>0.57356597593115499</c:v>
                </c:pt>
                <c:pt idx="91">
                  <c:v>0.5448996006304716</c:v>
                </c:pt>
                <c:pt idx="92">
                  <c:v>0.51938558075949603</c:v>
                </c:pt>
                <c:pt idx="93">
                  <c:v>0.49508222807373015</c:v>
                </c:pt>
                <c:pt idx="94">
                  <c:v>0.47425216050550456</c:v>
                </c:pt>
                <c:pt idx="95">
                  <c:v>0.45550143520344633</c:v>
                </c:pt>
                <c:pt idx="96">
                  <c:v>0.43682879676467046</c:v>
                </c:pt>
                <c:pt idx="97">
                  <c:v>0.41919988634296379</c:v>
                </c:pt>
                <c:pt idx="98">
                  <c:v>0.40378344699719415</c:v>
                </c:pt>
                <c:pt idx="99">
                  <c:v>0.389591812253403</c:v>
                </c:pt>
                <c:pt idx="100">
                  <c:v>0.37663324337417481</c:v>
                </c:pt>
                <c:pt idx="101">
                  <c:v>0.36322380199690274</c:v>
                </c:pt>
                <c:pt idx="102">
                  <c:v>0.35270688514232473</c:v>
                </c:pt>
                <c:pt idx="103">
                  <c:v>0.34240613413789034</c:v>
                </c:pt>
                <c:pt idx="104">
                  <c:v>0.33102804196708902</c:v>
                </c:pt>
                <c:pt idx="105">
                  <c:v>0.32144256872702837</c:v>
                </c:pt>
                <c:pt idx="106">
                  <c:v>0.31383344019846859</c:v>
                </c:pt>
                <c:pt idx="107">
                  <c:v>0.30392012402550139</c:v>
                </c:pt>
                <c:pt idx="108">
                  <c:v>0.29564331732450322</c:v>
                </c:pt>
                <c:pt idx="109">
                  <c:v>0.2892850247655554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1B-4523-975F-81D26EFE4824}"/>
            </c:ext>
          </c:extLst>
        </c:ser>
        <c:ser>
          <c:idx val="3"/>
          <c:order val="3"/>
          <c:tx>
            <c:strRef>
              <c:f>'LCVR 521'!$K$1</c:f>
              <c:strCache>
                <c:ptCount val="1"/>
                <c:pt idx="0">
                  <c:v>d with phase corr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'LCVR 521'!$G$2:$G$113</c:f>
              <c:numCache>
                <c:formatCode>General</c:formatCode>
                <c:ptCount val="112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  <c:pt idx="71">
                  <c:v>2.5455844122715674</c:v>
                </c:pt>
                <c:pt idx="72">
                  <c:v>2.5809397513308947</c:v>
                </c:pt>
                <c:pt idx="73">
                  <c:v>2.616295090390222</c:v>
                </c:pt>
                <c:pt idx="74">
                  <c:v>2.6516504294495493</c:v>
                </c:pt>
                <c:pt idx="75">
                  <c:v>2.6870057685088766</c:v>
                </c:pt>
                <c:pt idx="76">
                  <c:v>2.7223611075682039</c:v>
                </c:pt>
                <c:pt idx="77">
                  <c:v>2.7577164466275308</c:v>
                </c:pt>
                <c:pt idx="78">
                  <c:v>2.7930717856868581</c:v>
                </c:pt>
                <c:pt idx="79">
                  <c:v>2.8284271247461854</c:v>
                </c:pt>
                <c:pt idx="80">
                  <c:v>2.89913780286484</c:v>
                </c:pt>
                <c:pt idx="81">
                  <c:v>2.9698484809834946</c:v>
                </c:pt>
                <c:pt idx="82">
                  <c:v>3.0405591591021488</c:v>
                </c:pt>
                <c:pt idx="83">
                  <c:v>3.1112698372208034</c:v>
                </c:pt>
                <c:pt idx="84">
                  <c:v>3.181980515339458</c:v>
                </c:pt>
                <c:pt idx="85">
                  <c:v>3.2526911934581126</c:v>
                </c:pt>
                <c:pt idx="86">
                  <c:v>3.3234018715767668</c:v>
                </c:pt>
                <c:pt idx="87">
                  <c:v>3.3941125496954214</c:v>
                </c:pt>
                <c:pt idx="88">
                  <c:v>3.464823227814076</c:v>
                </c:pt>
                <c:pt idx="89">
                  <c:v>3.5355339059327306</c:v>
                </c:pt>
                <c:pt idx="90">
                  <c:v>3.7123106012293672</c:v>
                </c:pt>
                <c:pt idx="91">
                  <c:v>3.8890872965260042</c:v>
                </c:pt>
                <c:pt idx="92">
                  <c:v>4.0658639918226411</c:v>
                </c:pt>
                <c:pt idx="93">
                  <c:v>4.2426406871192777</c:v>
                </c:pt>
                <c:pt idx="94">
                  <c:v>4.4194173824159151</c:v>
                </c:pt>
                <c:pt idx="95">
                  <c:v>4.5961940777125516</c:v>
                </c:pt>
                <c:pt idx="96">
                  <c:v>4.7729707730091882</c:v>
                </c:pt>
                <c:pt idx="97">
                  <c:v>4.9497474683058256</c:v>
                </c:pt>
                <c:pt idx="98">
                  <c:v>5.1265241636024621</c:v>
                </c:pt>
                <c:pt idx="99">
                  <c:v>5.3033008588990995</c:v>
                </c:pt>
                <c:pt idx="100">
                  <c:v>5.4800775541957361</c:v>
                </c:pt>
                <c:pt idx="101">
                  <c:v>5.6568542494923726</c:v>
                </c:pt>
                <c:pt idx="102">
                  <c:v>5.8336309447890091</c:v>
                </c:pt>
                <c:pt idx="103">
                  <c:v>6.0104076400856457</c:v>
                </c:pt>
                <c:pt idx="104">
                  <c:v>6.1871843353822831</c:v>
                </c:pt>
                <c:pt idx="105">
                  <c:v>6.3639610306789196</c:v>
                </c:pt>
                <c:pt idx="106">
                  <c:v>6.540737725975557</c:v>
                </c:pt>
                <c:pt idx="107">
                  <c:v>6.7175144212721936</c:v>
                </c:pt>
                <c:pt idx="108">
                  <c:v>6.8942911165688301</c:v>
                </c:pt>
                <c:pt idx="109">
                  <c:v>7.0710678118654675</c:v>
                </c:pt>
              </c:numCache>
            </c:numRef>
          </c:xVal>
          <c:yVal>
            <c:numRef>
              <c:f>'LCVR 521'!$K$2:$K$113</c:f>
              <c:numCache>
                <c:formatCode>General</c:formatCode>
                <c:ptCount val="112"/>
                <c:pt idx="0">
                  <c:v>4.8513286811084555</c:v>
                </c:pt>
                <c:pt idx="1">
                  <c:v>4.8509644149718021</c:v>
                </c:pt>
                <c:pt idx="2">
                  <c:v>4.8509644149718021</c:v>
                </c:pt>
                <c:pt idx="3">
                  <c:v>4.8505998621552937</c:v>
                </c:pt>
                <c:pt idx="4">
                  <c:v>4.8490256085048289</c:v>
                </c:pt>
                <c:pt idx="5">
                  <c:v>4.8481821273590597</c:v>
                </c:pt>
                <c:pt idx="6">
                  <c:v>4.8458741591828325</c:v>
                </c:pt>
                <c:pt idx="7">
                  <c:v>4.8438225835885804</c:v>
                </c:pt>
                <c:pt idx="8">
                  <c:v>4.8409034918230684</c:v>
                </c:pt>
                <c:pt idx="9">
                  <c:v>4.839357380572392</c:v>
                </c:pt>
                <c:pt idx="10">
                  <c:v>4.8316927693823155</c:v>
                </c:pt>
                <c:pt idx="11">
                  <c:v>4.8227049328737515</c:v>
                </c:pt>
                <c:pt idx="12">
                  <c:v>4.8073311066402304</c:v>
                </c:pt>
                <c:pt idx="13">
                  <c:v>4.7793885045037268</c:v>
                </c:pt>
                <c:pt idx="14">
                  <c:v>4.7430115888742534</c:v>
                </c:pt>
                <c:pt idx="15">
                  <c:v>4.6889856755041315</c:v>
                </c:pt>
                <c:pt idx="16">
                  <c:v>4.6084558131876809</c:v>
                </c:pt>
                <c:pt idx="17">
                  <c:v>4.5143360892279407</c:v>
                </c:pt>
                <c:pt idx="18">
                  <c:v>4.3969232855677021</c:v>
                </c:pt>
                <c:pt idx="19">
                  <c:v>4.2680399128603277</c:v>
                </c:pt>
                <c:pt idx="20">
                  <c:v>4.1408410790681183</c:v>
                </c:pt>
                <c:pt idx="21">
                  <c:v>4.0125315755046147</c:v>
                </c:pt>
                <c:pt idx="22">
                  <c:v>3.8640341875257063</c:v>
                </c:pt>
                <c:pt idx="23">
                  <c:v>3.7555854045144059</c:v>
                </c:pt>
                <c:pt idx="24">
                  <c:v>3.6744621554151773</c:v>
                </c:pt>
                <c:pt idx="25">
                  <c:v>3.5412444458610937</c:v>
                </c:pt>
                <c:pt idx="26">
                  <c:v>3.4290129186492635</c:v>
                </c:pt>
                <c:pt idx="27">
                  <c:v>3.3675617783471194</c:v>
                </c:pt>
                <c:pt idx="28">
                  <c:v>3.1415926535897931</c:v>
                </c:pt>
                <c:pt idx="29">
                  <c:v>3.276514514859568</c:v>
                </c:pt>
                <c:pt idx="30">
                  <c:v>3.4937084491682566</c:v>
                </c:pt>
                <c:pt idx="31">
                  <c:v>3.5693814003486031</c:v>
                </c:pt>
                <c:pt idx="32">
                  <c:v>3.6530313374279069</c:v>
                </c:pt>
                <c:pt idx="33">
                  <c:v>3.7368787204958984</c:v>
                </c:pt>
                <c:pt idx="34">
                  <c:v>3.8295001357934888</c:v>
                </c:pt>
                <c:pt idx="35">
                  <c:v>3.9241698665520044</c:v>
                </c:pt>
                <c:pt idx="36">
                  <c:v>4.0100545138686181</c:v>
                </c:pt>
                <c:pt idx="37">
                  <c:v>4.0928828323125845</c:v>
                </c:pt>
                <c:pt idx="38">
                  <c:v>4.1677587856555478</c:v>
                </c:pt>
                <c:pt idx="39">
                  <c:v>4.2533230010188028</c:v>
                </c:pt>
                <c:pt idx="40">
                  <c:v>4.3234243571111017</c:v>
                </c:pt>
                <c:pt idx="41">
                  <c:v>4.3885522521971483</c:v>
                </c:pt>
                <c:pt idx="42">
                  <c:v>4.4593162290218356</c:v>
                </c:pt>
                <c:pt idx="43">
                  <c:v>4.5216877497715195</c:v>
                </c:pt>
                <c:pt idx="44">
                  <c:v>4.5824538748813364</c:v>
                </c:pt>
                <c:pt idx="45">
                  <c:v>4.6370585917829654</c:v>
                </c:pt>
                <c:pt idx="46">
                  <c:v>4.6901082686699</c:v>
                </c:pt>
                <c:pt idx="47">
                  <c:v>4.7390712879866674</c:v>
                </c:pt>
                <c:pt idx="48">
                  <c:v>4.7855105586491549</c:v>
                </c:pt>
                <c:pt idx="49">
                  <c:v>4.8242424206970727</c:v>
                </c:pt>
                <c:pt idx="50">
                  <c:v>4.8680124142013526</c:v>
                </c:pt>
                <c:pt idx="51">
                  <c:v>4.9123927676666721</c:v>
                </c:pt>
                <c:pt idx="52">
                  <c:v>4.9534861192894688</c:v>
                </c:pt>
                <c:pt idx="53">
                  <c:v>4.9807201373808159</c:v>
                </c:pt>
                <c:pt idx="54">
                  <c:v>5.0191362629484804</c:v>
                </c:pt>
                <c:pt idx="55">
                  <c:v>5.0456812251179031</c:v>
                </c:pt>
                <c:pt idx="56">
                  <c:v>5.0760301063084974</c:v>
                </c:pt>
                <c:pt idx="57">
                  <c:v>5.1148397333322047</c:v>
                </c:pt>
                <c:pt idx="58">
                  <c:v>5.1405123333441303</c:v>
                </c:pt>
                <c:pt idx="59">
                  <c:v>5.1675673365066421</c:v>
                </c:pt>
                <c:pt idx="60">
                  <c:v>5.1950937099386376</c:v>
                </c:pt>
                <c:pt idx="61">
                  <c:v>5.2159759378698745</c:v>
                </c:pt>
                <c:pt idx="62">
                  <c:v>5.2374820300432221</c:v>
                </c:pt>
                <c:pt idx="63">
                  <c:v>5.2610762553056389</c:v>
                </c:pt>
                <c:pt idx="64">
                  <c:v>5.2798401210257486</c:v>
                </c:pt>
                <c:pt idx="65">
                  <c:v>5.2985943294576003</c:v>
                </c:pt>
                <c:pt idx="66">
                  <c:v>5.3124144229539922</c:v>
                </c:pt>
                <c:pt idx="67">
                  <c:v>5.3290811084939946</c:v>
                </c:pt>
                <c:pt idx="68">
                  <c:v>5.3473125095300817</c:v>
                </c:pt>
                <c:pt idx="69">
                  <c:v>5.3661961508714402</c:v>
                </c:pt>
                <c:pt idx="70">
                  <c:v>5.3793731291832332</c:v>
                </c:pt>
                <c:pt idx="71">
                  <c:v>5.3957632753544296</c:v>
                </c:pt>
                <c:pt idx="72">
                  <c:v>5.410186780948381</c:v>
                </c:pt>
                <c:pt idx="73">
                  <c:v>5.4251893040835188</c:v>
                </c:pt>
                <c:pt idx="74">
                  <c:v>5.4399683069891607</c:v>
                </c:pt>
                <c:pt idx="75">
                  <c:v>5.4529049377879435</c:v>
                </c:pt>
                <c:pt idx="76">
                  <c:v>5.4661921907860398</c:v>
                </c:pt>
                <c:pt idx="77">
                  <c:v>5.4779559257561088</c:v>
                </c:pt>
                <c:pt idx="78">
                  <c:v>5.4908876655738101</c:v>
                </c:pt>
                <c:pt idx="79">
                  <c:v>5.5043247721234048</c:v>
                </c:pt>
                <c:pt idx="80">
                  <c:v>5.52587557142758</c:v>
                </c:pt>
                <c:pt idx="81">
                  <c:v>5.5472239088604907</c:v>
                </c:pt>
                <c:pt idx="82">
                  <c:v>5.5674076310897602</c:v>
                </c:pt>
                <c:pt idx="83">
                  <c:v>5.5838102398641611</c:v>
                </c:pt>
                <c:pt idx="84">
                  <c:v>5.6018536785845088</c:v>
                </c:pt>
                <c:pt idx="85">
                  <c:v>5.6186375772591504</c:v>
                </c:pt>
                <c:pt idx="86">
                  <c:v>5.6344775603926518</c:v>
                </c:pt>
                <c:pt idx="87">
                  <c:v>5.6510883882527692</c:v>
                </c:pt>
                <c:pt idx="88">
                  <c:v>5.6656762620177119</c:v>
                </c:pt>
                <c:pt idx="89">
                  <c:v>5.6781566438271396</c:v>
                </c:pt>
                <c:pt idx="90">
                  <c:v>5.7096193312484314</c:v>
                </c:pt>
                <c:pt idx="91">
                  <c:v>5.7382857065491146</c:v>
                </c:pt>
                <c:pt idx="92">
                  <c:v>5.76379972642009</c:v>
                </c:pt>
                <c:pt idx="93">
                  <c:v>5.7881030791058556</c:v>
                </c:pt>
                <c:pt idx="94">
                  <c:v>5.8089331466740814</c:v>
                </c:pt>
                <c:pt idx="95">
                  <c:v>5.8276838719761397</c:v>
                </c:pt>
                <c:pt idx="96">
                  <c:v>5.8463565104149158</c:v>
                </c:pt>
                <c:pt idx="97">
                  <c:v>5.863985420836622</c:v>
                </c:pt>
                <c:pt idx="98">
                  <c:v>5.8794018601823925</c:v>
                </c:pt>
                <c:pt idx="99">
                  <c:v>5.8935934949261828</c:v>
                </c:pt>
                <c:pt idx="100">
                  <c:v>5.9065520638054112</c:v>
                </c:pt>
                <c:pt idx="101">
                  <c:v>5.9199615051826839</c:v>
                </c:pt>
                <c:pt idx="102">
                  <c:v>5.9304784220372611</c:v>
                </c:pt>
                <c:pt idx="103">
                  <c:v>5.9407791730416957</c:v>
                </c:pt>
                <c:pt idx="104">
                  <c:v>5.952157265212497</c:v>
                </c:pt>
                <c:pt idx="105">
                  <c:v>5.9617427384525579</c:v>
                </c:pt>
                <c:pt idx="106">
                  <c:v>5.9693518669811176</c:v>
                </c:pt>
                <c:pt idx="107">
                  <c:v>5.9792651831540846</c:v>
                </c:pt>
                <c:pt idx="108">
                  <c:v>5.9875419898550835</c:v>
                </c:pt>
                <c:pt idx="109">
                  <c:v>5.9939002824140308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1B-4523-975F-81D26EFE4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87208"/>
        <c:axId val="501086816"/>
      </c:scatterChart>
      <c:valAx>
        <c:axId val="50108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86816"/>
        <c:crosses val="autoZero"/>
        <c:crossBetween val="midCat"/>
      </c:valAx>
      <c:valAx>
        <c:axId val="50108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87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'LCVR 667'!$B$1</c:f>
              <c:strCache>
                <c:ptCount val="1"/>
                <c:pt idx="0">
                  <c:v>I 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'LCVR 667'!$A$2:$A$126</c:f>
              <c:numCache>
                <c:formatCode>General</c:formatCode>
                <c:ptCount val="125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2.7200000000000011</c:v>
                </c:pt>
                <c:pt idx="28">
                  <c:v>2.7400000000000011</c:v>
                </c:pt>
                <c:pt idx="29">
                  <c:v>2.7600000000000011</c:v>
                </c:pt>
                <c:pt idx="30">
                  <c:v>2.7800000000000011</c:v>
                </c:pt>
                <c:pt idx="31">
                  <c:v>2.8000000000000012</c:v>
                </c:pt>
                <c:pt idx="32">
                  <c:v>2.8200000000000012</c:v>
                </c:pt>
                <c:pt idx="33">
                  <c:v>2.8400000000000012</c:v>
                </c:pt>
                <c:pt idx="34">
                  <c:v>2.850000000000001</c:v>
                </c:pt>
                <c:pt idx="35">
                  <c:v>2.8600000000000008</c:v>
                </c:pt>
                <c:pt idx="36">
                  <c:v>2.8700000000000006</c:v>
                </c:pt>
                <c:pt idx="37">
                  <c:v>2.8800000000000003</c:v>
                </c:pt>
                <c:pt idx="38">
                  <c:v>2.89</c:v>
                </c:pt>
                <c:pt idx="39">
                  <c:v>2.9</c:v>
                </c:pt>
                <c:pt idx="40">
                  <c:v>2.92</c:v>
                </c:pt>
                <c:pt idx="41">
                  <c:v>2.94</c:v>
                </c:pt>
                <c:pt idx="42">
                  <c:v>2.96</c:v>
                </c:pt>
                <c:pt idx="43">
                  <c:v>2.98</c:v>
                </c:pt>
                <c:pt idx="44">
                  <c:v>3</c:v>
                </c:pt>
                <c:pt idx="45">
                  <c:v>3.1</c:v>
                </c:pt>
                <c:pt idx="46">
                  <c:v>3.2</c:v>
                </c:pt>
                <c:pt idx="47">
                  <c:v>3.3000000000000003</c:v>
                </c:pt>
                <c:pt idx="48">
                  <c:v>3.4000000000000004</c:v>
                </c:pt>
                <c:pt idx="49">
                  <c:v>3.5000000000000004</c:v>
                </c:pt>
                <c:pt idx="50">
                  <c:v>3.6000000000000005</c:v>
                </c:pt>
                <c:pt idx="51">
                  <c:v>3.7000000000000006</c:v>
                </c:pt>
                <c:pt idx="52">
                  <c:v>3.8000000000000007</c:v>
                </c:pt>
                <c:pt idx="53">
                  <c:v>3.9000000000000008</c:v>
                </c:pt>
                <c:pt idx="54">
                  <c:v>4.0000000000000009</c:v>
                </c:pt>
                <c:pt idx="55">
                  <c:v>4.1000000000000005</c:v>
                </c:pt>
                <c:pt idx="56">
                  <c:v>4.2</c:v>
                </c:pt>
                <c:pt idx="57">
                  <c:v>4.3</c:v>
                </c:pt>
                <c:pt idx="58">
                  <c:v>4.3999999999999995</c:v>
                </c:pt>
                <c:pt idx="59">
                  <c:v>4.4999999999999991</c:v>
                </c:pt>
                <c:pt idx="60">
                  <c:v>4.5999999999999988</c:v>
                </c:pt>
                <c:pt idx="61">
                  <c:v>4.6999999999999984</c:v>
                </c:pt>
                <c:pt idx="62">
                  <c:v>4.799999999999998</c:v>
                </c:pt>
                <c:pt idx="63">
                  <c:v>4.8999999999999977</c:v>
                </c:pt>
                <c:pt idx="64">
                  <c:v>4.9999999999999973</c:v>
                </c:pt>
                <c:pt idx="65">
                  <c:v>5.099999999999997</c:v>
                </c:pt>
                <c:pt idx="66">
                  <c:v>5.1999999999999966</c:v>
                </c:pt>
                <c:pt idx="67">
                  <c:v>5.2999999999999963</c:v>
                </c:pt>
                <c:pt idx="68">
                  <c:v>5.3999999999999959</c:v>
                </c:pt>
                <c:pt idx="69">
                  <c:v>5.4999999999999956</c:v>
                </c:pt>
                <c:pt idx="70">
                  <c:v>5.5999999999999952</c:v>
                </c:pt>
                <c:pt idx="71">
                  <c:v>5.6999999999999948</c:v>
                </c:pt>
                <c:pt idx="72">
                  <c:v>5.7999999999999945</c:v>
                </c:pt>
                <c:pt idx="73">
                  <c:v>5.8999999999999941</c:v>
                </c:pt>
                <c:pt idx="74">
                  <c:v>5.9999999999999938</c:v>
                </c:pt>
                <c:pt idx="75">
                  <c:v>6.0999999999999934</c:v>
                </c:pt>
                <c:pt idx="76">
                  <c:v>6.1999999999999931</c:v>
                </c:pt>
                <c:pt idx="77">
                  <c:v>6.2999999999999927</c:v>
                </c:pt>
                <c:pt idx="78">
                  <c:v>6.3999999999999924</c:v>
                </c:pt>
                <c:pt idx="79">
                  <c:v>6.499999999999992</c:v>
                </c:pt>
                <c:pt idx="80">
                  <c:v>6.5999999999999917</c:v>
                </c:pt>
                <c:pt idx="81">
                  <c:v>6.6999999999999913</c:v>
                </c:pt>
                <c:pt idx="82">
                  <c:v>6.7999999999999909</c:v>
                </c:pt>
                <c:pt idx="83">
                  <c:v>6.8999999999999906</c:v>
                </c:pt>
                <c:pt idx="84">
                  <c:v>6.9999999999999902</c:v>
                </c:pt>
                <c:pt idx="85">
                  <c:v>7.0999999999999899</c:v>
                </c:pt>
                <c:pt idx="86">
                  <c:v>7.1999999999999895</c:v>
                </c:pt>
                <c:pt idx="87">
                  <c:v>7.2999999999999892</c:v>
                </c:pt>
                <c:pt idx="88">
                  <c:v>7.3999999999999888</c:v>
                </c:pt>
                <c:pt idx="89">
                  <c:v>7.4999999999999885</c:v>
                </c:pt>
                <c:pt idx="90">
                  <c:v>7.5999999999999881</c:v>
                </c:pt>
                <c:pt idx="91">
                  <c:v>7.6999999999999877</c:v>
                </c:pt>
                <c:pt idx="92">
                  <c:v>7.7999999999999874</c:v>
                </c:pt>
                <c:pt idx="93">
                  <c:v>7.899999999999987</c:v>
                </c:pt>
                <c:pt idx="94">
                  <c:v>7.9999999999999867</c:v>
                </c:pt>
                <c:pt idx="95">
                  <c:v>8.1999999999999869</c:v>
                </c:pt>
                <c:pt idx="96">
                  <c:v>8.3999999999999861</c:v>
                </c:pt>
                <c:pt idx="97">
                  <c:v>8.5999999999999854</c:v>
                </c:pt>
                <c:pt idx="98">
                  <c:v>8.7999999999999847</c:v>
                </c:pt>
                <c:pt idx="99">
                  <c:v>8.999999999999984</c:v>
                </c:pt>
                <c:pt idx="100">
                  <c:v>9.1999999999999833</c:v>
                </c:pt>
                <c:pt idx="101">
                  <c:v>9.3999999999999826</c:v>
                </c:pt>
                <c:pt idx="102">
                  <c:v>9.5999999999999819</c:v>
                </c:pt>
                <c:pt idx="103">
                  <c:v>9.7999999999999812</c:v>
                </c:pt>
                <c:pt idx="104">
                  <c:v>9.9999999999999805</c:v>
                </c:pt>
                <c:pt idx="105">
                  <c:v>10.49999999999998</c:v>
                </c:pt>
                <c:pt idx="106">
                  <c:v>10.99999999999998</c:v>
                </c:pt>
                <c:pt idx="107">
                  <c:v>11.49999999999998</c:v>
                </c:pt>
                <c:pt idx="108">
                  <c:v>11.99999999999998</c:v>
                </c:pt>
                <c:pt idx="109">
                  <c:v>12.49999999999998</c:v>
                </c:pt>
                <c:pt idx="110">
                  <c:v>12.99999999999998</c:v>
                </c:pt>
                <c:pt idx="111">
                  <c:v>13.49999999999998</c:v>
                </c:pt>
                <c:pt idx="112">
                  <c:v>13.99999999999998</c:v>
                </c:pt>
                <c:pt idx="113">
                  <c:v>14.49999999999998</c:v>
                </c:pt>
                <c:pt idx="114">
                  <c:v>14.99999999999998</c:v>
                </c:pt>
                <c:pt idx="115">
                  <c:v>15.49999999999998</c:v>
                </c:pt>
                <c:pt idx="116">
                  <c:v>15.99999999999998</c:v>
                </c:pt>
                <c:pt idx="117">
                  <c:v>16.499999999999979</c:v>
                </c:pt>
                <c:pt idx="118">
                  <c:v>16.999999999999979</c:v>
                </c:pt>
                <c:pt idx="119">
                  <c:v>17.499999999999979</c:v>
                </c:pt>
                <c:pt idx="120">
                  <c:v>17.999999999999979</c:v>
                </c:pt>
                <c:pt idx="121">
                  <c:v>18.499999999999979</c:v>
                </c:pt>
                <c:pt idx="122">
                  <c:v>18.999999999999979</c:v>
                </c:pt>
                <c:pt idx="123">
                  <c:v>19.499999999999979</c:v>
                </c:pt>
                <c:pt idx="124">
                  <c:v>19.999999999999979</c:v>
                </c:pt>
              </c:numCache>
            </c:numRef>
          </c:xVal>
          <c:yVal>
            <c:numRef>
              <c:f>'LCVR 667'!$B$2:$B$126</c:f>
              <c:numCache>
                <c:formatCode>General</c:formatCode>
                <c:ptCount val="125"/>
                <c:pt idx="0">
                  <c:v>105.22</c:v>
                </c:pt>
                <c:pt idx="1">
                  <c:v>105.07</c:v>
                </c:pt>
                <c:pt idx="2">
                  <c:v>105.01</c:v>
                </c:pt>
                <c:pt idx="3">
                  <c:v>105.19</c:v>
                </c:pt>
                <c:pt idx="4">
                  <c:v>105.26</c:v>
                </c:pt>
                <c:pt idx="5">
                  <c:v>105.26</c:v>
                </c:pt>
                <c:pt idx="6">
                  <c:v>105.44</c:v>
                </c:pt>
                <c:pt idx="7">
                  <c:v>105.62</c:v>
                </c:pt>
                <c:pt idx="8">
                  <c:v>106.11</c:v>
                </c:pt>
                <c:pt idx="9">
                  <c:v>106.38</c:v>
                </c:pt>
                <c:pt idx="10">
                  <c:v>106.45</c:v>
                </c:pt>
                <c:pt idx="11">
                  <c:v>106.93</c:v>
                </c:pt>
                <c:pt idx="12">
                  <c:v>107.82</c:v>
                </c:pt>
                <c:pt idx="13">
                  <c:v>109.44</c:v>
                </c:pt>
                <c:pt idx="14">
                  <c:v>112.18</c:v>
                </c:pt>
                <c:pt idx="15">
                  <c:v>116.67</c:v>
                </c:pt>
                <c:pt idx="16">
                  <c:v>122.83</c:v>
                </c:pt>
                <c:pt idx="17">
                  <c:v>130.16</c:v>
                </c:pt>
                <c:pt idx="18">
                  <c:v>138.84</c:v>
                </c:pt>
                <c:pt idx="19">
                  <c:v>147.03</c:v>
                </c:pt>
                <c:pt idx="20">
                  <c:v>155.12</c:v>
                </c:pt>
                <c:pt idx="21">
                  <c:v>162.72</c:v>
                </c:pt>
                <c:pt idx="22">
                  <c:v>169.53</c:v>
                </c:pt>
                <c:pt idx="23">
                  <c:v>175.51</c:v>
                </c:pt>
                <c:pt idx="24">
                  <c:v>180.24</c:v>
                </c:pt>
                <c:pt idx="25">
                  <c:v>184.45</c:v>
                </c:pt>
                <c:pt idx="26">
                  <c:v>186.55</c:v>
                </c:pt>
                <c:pt idx="27">
                  <c:v>186.89</c:v>
                </c:pt>
                <c:pt idx="28">
                  <c:v>187.16</c:v>
                </c:pt>
                <c:pt idx="29">
                  <c:v>187.32</c:v>
                </c:pt>
                <c:pt idx="30">
                  <c:v>187.41</c:v>
                </c:pt>
                <c:pt idx="31">
                  <c:v>187.5</c:v>
                </c:pt>
                <c:pt idx="32">
                  <c:v>187.56</c:v>
                </c:pt>
                <c:pt idx="33">
                  <c:v>187.77</c:v>
                </c:pt>
                <c:pt idx="34">
                  <c:v>187.71</c:v>
                </c:pt>
                <c:pt idx="35">
                  <c:v>187.68</c:v>
                </c:pt>
                <c:pt idx="36">
                  <c:v>187.59</c:v>
                </c:pt>
                <c:pt idx="37">
                  <c:v>187.5</c:v>
                </c:pt>
                <c:pt idx="38">
                  <c:v>187.44</c:v>
                </c:pt>
                <c:pt idx="39">
                  <c:v>187.32</c:v>
                </c:pt>
                <c:pt idx="40">
                  <c:v>187.07</c:v>
                </c:pt>
                <c:pt idx="41">
                  <c:v>186.8</c:v>
                </c:pt>
                <c:pt idx="42">
                  <c:v>186.46</c:v>
                </c:pt>
                <c:pt idx="43">
                  <c:v>186.22</c:v>
                </c:pt>
                <c:pt idx="44">
                  <c:v>185.52</c:v>
                </c:pt>
                <c:pt idx="45">
                  <c:v>182.71</c:v>
                </c:pt>
                <c:pt idx="46">
                  <c:v>178.83</c:v>
                </c:pt>
                <c:pt idx="47">
                  <c:v>174.32</c:v>
                </c:pt>
                <c:pt idx="48">
                  <c:v>168.88</c:v>
                </c:pt>
                <c:pt idx="49">
                  <c:v>163.15</c:v>
                </c:pt>
                <c:pt idx="50">
                  <c:v>157.1</c:v>
                </c:pt>
                <c:pt idx="51">
                  <c:v>151</c:v>
                </c:pt>
                <c:pt idx="52">
                  <c:v>144.68</c:v>
                </c:pt>
                <c:pt idx="53">
                  <c:v>138.31</c:v>
                </c:pt>
                <c:pt idx="54">
                  <c:v>132.02000000000001</c:v>
                </c:pt>
                <c:pt idx="55">
                  <c:v>125.89</c:v>
                </c:pt>
                <c:pt idx="56">
                  <c:v>119.9</c:v>
                </c:pt>
                <c:pt idx="57">
                  <c:v>114.17</c:v>
                </c:pt>
                <c:pt idx="58">
                  <c:v>108.7</c:v>
                </c:pt>
                <c:pt idx="59">
                  <c:v>103.39</c:v>
                </c:pt>
                <c:pt idx="60">
                  <c:v>98.48</c:v>
                </c:pt>
                <c:pt idx="61">
                  <c:v>93.81</c:v>
                </c:pt>
                <c:pt idx="62">
                  <c:v>89.39</c:v>
                </c:pt>
                <c:pt idx="63">
                  <c:v>85.14</c:v>
                </c:pt>
                <c:pt idx="64">
                  <c:v>81.150000000000006</c:v>
                </c:pt>
                <c:pt idx="65">
                  <c:v>77.36</c:v>
                </c:pt>
                <c:pt idx="66">
                  <c:v>73.790000000000006</c:v>
                </c:pt>
                <c:pt idx="67">
                  <c:v>70.400000000000006</c:v>
                </c:pt>
                <c:pt idx="68">
                  <c:v>67.23</c:v>
                </c:pt>
                <c:pt idx="69">
                  <c:v>64.239999999999995</c:v>
                </c:pt>
                <c:pt idx="70">
                  <c:v>61.46</c:v>
                </c:pt>
                <c:pt idx="71">
                  <c:v>58.81</c:v>
                </c:pt>
                <c:pt idx="72">
                  <c:v>56.37</c:v>
                </c:pt>
                <c:pt idx="73">
                  <c:v>54.05</c:v>
                </c:pt>
                <c:pt idx="74">
                  <c:v>51.85</c:v>
                </c:pt>
                <c:pt idx="75">
                  <c:v>49.77</c:v>
                </c:pt>
                <c:pt idx="76">
                  <c:v>47.85</c:v>
                </c:pt>
                <c:pt idx="77">
                  <c:v>46.02</c:v>
                </c:pt>
                <c:pt idx="78">
                  <c:v>44.34</c:v>
                </c:pt>
                <c:pt idx="79">
                  <c:v>42.72</c:v>
                </c:pt>
                <c:pt idx="80">
                  <c:v>41.17</c:v>
                </c:pt>
                <c:pt idx="81">
                  <c:v>39.76</c:v>
                </c:pt>
                <c:pt idx="82">
                  <c:v>38.36</c:v>
                </c:pt>
                <c:pt idx="83">
                  <c:v>37.08</c:v>
                </c:pt>
                <c:pt idx="84">
                  <c:v>35.83</c:v>
                </c:pt>
                <c:pt idx="85">
                  <c:v>34.700000000000003</c:v>
                </c:pt>
                <c:pt idx="86">
                  <c:v>33.57</c:v>
                </c:pt>
                <c:pt idx="87">
                  <c:v>32.53</c:v>
                </c:pt>
                <c:pt idx="88">
                  <c:v>31.52</c:v>
                </c:pt>
                <c:pt idx="89">
                  <c:v>30.58</c:v>
                </c:pt>
                <c:pt idx="90">
                  <c:v>29.66</c:v>
                </c:pt>
                <c:pt idx="91">
                  <c:v>28.78</c:v>
                </c:pt>
                <c:pt idx="92">
                  <c:v>27.95</c:v>
                </c:pt>
                <c:pt idx="93">
                  <c:v>27.16</c:v>
                </c:pt>
                <c:pt idx="94">
                  <c:v>26.4</c:v>
                </c:pt>
                <c:pt idx="95">
                  <c:v>24.93</c:v>
                </c:pt>
                <c:pt idx="96">
                  <c:v>23.62</c:v>
                </c:pt>
                <c:pt idx="97">
                  <c:v>22.43</c:v>
                </c:pt>
                <c:pt idx="98">
                  <c:v>21.33</c:v>
                </c:pt>
                <c:pt idx="99">
                  <c:v>20.29</c:v>
                </c:pt>
                <c:pt idx="100">
                  <c:v>19.32</c:v>
                </c:pt>
                <c:pt idx="101">
                  <c:v>18.43</c:v>
                </c:pt>
                <c:pt idx="102">
                  <c:v>17.61</c:v>
                </c:pt>
                <c:pt idx="103">
                  <c:v>16.850000000000001</c:v>
                </c:pt>
                <c:pt idx="104">
                  <c:v>16.11</c:v>
                </c:pt>
                <c:pt idx="105">
                  <c:v>14.53</c:v>
                </c:pt>
                <c:pt idx="106">
                  <c:v>13.15</c:v>
                </c:pt>
                <c:pt idx="107">
                  <c:v>11.96</c:v>
                </c:pt>
                <c:pt idx="108">
                  <c:v>10.93</c:v>
                </c:pt>
                <c:pt idx="109">
                  <c:v>10.01</c:v>
                </c:pt>
                <c:pt idx="110">
                  <c:v>9.25</c:v>
                </c:pt>
                <c:pt idx="111">
                  <c:v>8.5399999999999991</c:v>
                </c:pt>
                <c:pt idx="112">
                  <c:v>7.87</c:v>
                </c:pt>
                <c:pt idx="113">
                  <c:v>7.32</c:v>
                </c:pt>
                <c:pt idx="114">
                  <c:v>6.84</c:v>
                </c:pt>
                <c:pt idx="115">
                  <c:v>6.38</c:v>
                </c:pt>
                <c:pt idx="116">
                  <c:v>5.98</c:v>
                </c:pt>
                <c:pt idx="117">
                  <c:v>5.62</c:v>
                </c:pt>
                <c:pt idx="118">
                  <c:v>5.28</c:v>
                </c:pt>
                <c:pt idx="119">
                  <c:v>4.97</c:v>
                </c:pt>
                <c:pt idx="120">
                  <c:v>4.67</c:v>
                </c:pt>
                <c:pt idx="121">
                  <c:v>4.43</c:v>
                </c:pt>
                <c:pt idx="122">
                  <c:v>4.18</c:v>
                </c:pt>
                <c:pt idx="123">
                  <c:v>3.92</c:v>
                </c:pt>
                <c:pt idx="124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F4-43DE-8901-9D68AE66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51872"/>
        <c:axId val="501551480"/>
      </c:scatterChart>
      <c:valAx>
        <c:axId val="50155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51480"/>
        <c:crosses val="autoZero"/>
        <c:crossBetween val="midCat"/>
      </c:valAx>
      <c:valAx>
        <c:axId val="50155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5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192473090700794E-2"/>
          <c:y val="3.8231780167264036E-2"/>
          <c:w val="0.91911154428172048"/>
          <c:h val="0.8365674183200217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'LCVR 667'!$H$1</c:f>
              <c:strCache>
                <c:ptCount val="1"/>
                <c:pt idx="0">
                  <c:v>I_raw_data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667'!$G$3:$G$126</c:f>
              <c:numCache>
                <c:formatCode>General</c:formatCode>
                <c:ptCount val="124"/>
                <c:pt idx="0">
                  <c:v>7.0710678118654752E-2</c:v>
                </c:pt>
                <c:pt idx="1">
                  <c:v>0.10606601717798214</c:v>
                </c:pt>
                <c:pt idx="2">
                  <c:v>0.1414213562373095</c:v>
                </c:pt>
                <c:pt idx="3">
                  <c:v>0.17677669529663687</c:v>
                </c:pt>
                <c:pt idx="4">
                  <c:v>0.21213203435596423</c:v>
                </c:pt>
                <c:pt idx="5">
                  <c:v>0.24748737341529159</c:v>
                </c:pt>
                <c:pt idx="6">
                  <c:v>0.28284271247461895</c:v>
                </c:pt>
                <c:pt idx="7">
                  <c:v>0.31819805153394631</c:v>
                </c:pt>
                <c:pt idx="8">
                  <c:v>0.35355339059327368</c:v>
                </c:pt>
                <c:pt idx="9">
                  <c:v>0.38890872965260104</c:v>
                </c:pt>
                <c:pt idx="10">
                  <c:v>0.42426406871192845</c:v>
                </c:pt>
                <c:pt idx="11">
                  <c:v>0.45961940777125587</c:v>
                </c:pt>
                <c:pt idx="12">
                  <c:v>0.49497474683058329</c:v>
                </c:pt>
                <c:pt idx="13">
                  <c:v>0.53033008588991071</c:v>
                </c:pt>
                <c:pt idx="14">
                  <c:v>0.56568542494923812</c:v>
                </c:pt>
                <c:pt idx="15">
                  <c:v>0.60104076400856554</c:v>
                </c:pt>
                <c:pt idx="16">
                  <c:v>0.63639610306789285</c:v>
                </c:pt>
                <c:pt idx="17">
                  <c:v>0.67175144212722027</c:v>
                </c:pt>
                <c:pt idx="18">
                  <c:v>0.70710678118654768</c:v>
                </c:pt>
                <c:pt idx="19">
                  <c:v>0.74246212024587499</c:v>
                </c:pt>
                <c:pt idx="20">
                  <c:v>0.77781745930520241</c:v>
                </c:pt>
                <c:pt idx="21">
                  <c:v>0.81317279836452983</c:v>
                </c:pt>
                <c:pt idx="22">
                  <c:v>0.84852813742385724</c:v>
                </c:pt>
                <c:pt idx="23">
                  <c:v>0.88388347648318466</c:v>
                </c:pt>
                <c:pt idx="24">
                  <c:v>0.91923881554251208</c:v>
                </c:pt>
                <c:pt idx="25">
                  <c:v>0.9545941546018395</c:v>
                </c:pt>
                <c:pt idx="26">
                  <c:v>0.961665222413705</c:v>
                </c:pt>
                <c:pt idx="27">
                  <c:v>0.9687362902255704</c:v>
                </c:pt>
                <c:pt idx="28">
                  <c:v>0.9758073580374359</c:v>
                </c:pt>
                <c:pt idx="29">
                  <c:v>0.98287842584930141</c:v>
                </c:pt>
                <c:pt idx="30">
                  <c:v>0.98994949366116691</c:v>
                </c:pt>
                <c:pt idx="31">
                  <c:v>0.99702056147303231</c:v>
                </c:pt>
                <c:pt idx="32">
                  <c:v>1.0040916292848978</c:v>
                </c:pt>
                <c:pt idx="33">
                  <c:v>1.0076271631908305</c:v>
                </c:pt>
                <c:pt idx="34">
                  <c:v>1.0111626970967631</c:v>
                </c:pt>
                <c:pt idx="35">
                  <c:v>1.0146982310026957</c:v>
                </c:pt>
                <c:pt idx="36">
                  <c:v>1.0182337649086284</c:v>
                </c:pt>
                <c:pt idx="37">
                  <c:v>1.0217692988145612</c:v>
                </c:pt>
                <c:pt idx="38">
                  <c:v>1.0253048327204939</c:v>
                </c:pt>
                <c:pt idx="39">
                  <c:v>1.0323759005323594</c:v>
                </c:pt>
                <c:pt idx="40">
                  <c:v>1.0394469683442247</c:v>
                </c:pt>
                <c:pt idx="41">
                  <c:v>1.0465180361560902</c:v>
                </c:pt>
                <c:pt idx="42">
                  <c:v>1.0535891039679557</c:v>
                </c:pt>
                <c:pt idx="43">
                  <c:v>1.0606601717798212</c:v>
                </c:pt>
                <c:pt idx="44">
                  <c:v>1.0960155108391487</c:v>
                </c:pt>
                <c:pt idx="45">
                  <c:v>1.131370849898476</c:v>
                </c:pt>
                <c:pt idx="46">
                  <c:v>1.1667261889578033</c:v>
                </c:pt>
                <c:pt idx="47">
                  <c:v>1.2020815280171309</c:v>
                </c:pt>
                <c:pt idx="48">
                  <c:v>1.2374368670764582</c:v>
                </c:pt>
                <c:pt idx="49">
                  <c:v>1.2727922061357857</c:v>
                </c:pt>
                <c:pt idx="50">
                  <c:v>1.308147545195113</c:v>
                </c:pt>
                <c:pt idx="51">
                  <c:v>1.3435028842544405</c:v>
                </c:pt>
                <c:pt idx="52">
                  <c:v>1.3788582233137678</c:v>
                </c:pt>
                <c:pt idx="53">
                  <c:v>1.4142135623730954</c:v>
                </c:pt>
                <c:pt idx="54">
                  <c:v>1.4495689014324225</c:v>
                </c:pt>
                <c:pt idx="55">
                  <c:v>1.4849242404917498</c:v>
                </c:pt>
                <c:pt idx="56">
                  <c:v>1.5202795795510771</c:v>
                </c:pt>
                <c:pt idx="57">
                  <c:v>1.5556349186104041</c:v>
                </c:pt>
                <c:pt idx="58">
                  <c:v>1.5909902576697315</c:v>
                </c:pt>
                <c:pt idx="59">
                  <c:v>1.6263455967290588</c:v>
                </c:pt>
                <c:pt idx="60">
                  <c:v>1.6617009357883861</c:v>
                </c:pt>
                <c:pt idx="61">
                  <c:v>1.6970562748477132</c:v>
                </c:pt>
                <c:pt idx="62">
                  <c:v>1.7324116139070405</c:v>
                </c:pt>
                <c:pt idx="63">
                  <c:v>1.7677669529663678</c:v>
                </c:pt>
                <c:pt idx="64">
                  <c:v>1.8031222920256951</c:v>
                </c:pt>
                <c:pt idx="65">
                  <c:v>1.8384776310850222</c:v>
                </c:pt>
                <c:pt idx="66">
                  <c:v>1.8738329701443495</c:v>
                </c:pt>
                <c:pt idx="67">
                  <c:v>1.9091883092036768</c:v>
                </c:pt>
                <c:pt idx="68">
                  <c:v>1.9445436482630041</c:v>
                </c:pt>
                <c:pt idx="69">
                  <c:v>1.9798989873223312</c:v>
                </c:pt>
                <c:pt idx="70">
                  <c:v>2.0152543263816587</c:v>
                </c:pt>
                <c:pt idx="71">
                  <c:v>2.0506096654409856</c:v>
                </c:pt>
                <c:pt idx="72">
                  <c:v>2.0859650045003129</c:v>
                </c:pt>
                <c:pt idx="73">
                  <c:v>2.1213203435596402</c:v>
                </c:pt>
                <c:pt idx="74">
                  <c:v>2.1566756826189675</c:v>
                </c:pt>
                <c:pt idx="75">
                  <c:v>2.1920310216782948</c:v>
                </c:pt>
                <c:pt idx="76">
                  <c:v>2.2273863607376221</c:v>
                </c:pt>
                <c:pt idx="77">
                  <c:v>2.2627416997969494</c:v>
                </c:pt>
                <c:pt idx="78">
                  <c:v>2.2980970388562763</c:v>
                </c:pt>
                <c:pt idx="79">
                  <c:v>2.3334523779156036</c:v>
                </c:pt>
                <c:pt idx="80">
                  <c:v>2.3688077169749309</c:v>
                </c:pt>
                <c:pt idx="81">
                  <c:v>2.4041630560342582</c:v>
                </c:pt>
                <c:pt idx="82">
                  <c:v>2.4395183950935855</c:v>
                </c:pt>
                <c:pt idx="83">
                  <c:v>2.4748737341529128</c:v>
                </c:pt>
                <c:pt idx="84">
                  <c:v>2.5102290732122401</c:v>
                </c:pt>
                <c:pt idx="85">
                  <c:v>2.5455844122715674</c:v>
                </c:pt>
                <c:pt idx="86">
                  <c:v>2.5809397513308943</c:v>
                </c:pt>
                <c:pt idx="87">
                  <c:v>2.6162950903902216</c:v>
                </c:pt>
                <c:pt idx="88">
                  <c:v>2.6516504294495489</c:v>
                </c:pt>
                <c:pt idx="89">
                  <c:v>2.6870057685088762</c:v>
                </c:pt>
                <c:pt idx="90">
                  <c:v>2.7223611075682035</c:v>
                </c:pt>
                <c:pt idx="91">
                  <c:v>2.7577164466275308</c:v>
                </c:pt>
                <c:pt idx="92">
                  <c:v>2.7930717856868581</c:v>
                </c:pt>
                <c:pt idx="93">
                  <c:v>2.8284271247461854</c:v>
                </c:pt>
                <c:pt idx="94">
                  <c:v>2.89913780286484</c:v>
                </c:pt>
                <c:pt idx="95">
                  <c:v>2.9698484809834946</c:v>
                </c:pt>
                <c:pt idx="96">
                  <c:v>3.0405591591021488</c:v>
                </c:pt>
                <c:pt idx="97">
                  <c:v>3.1112698372208034</c:v>
                </c:pt>
                <c:pt idx="98">
                  <c:v>3.181980515339458</c:v>
                </c:pt>
                <c:pt idx="99">
                  <c:v>3.2526911934581126</c:v>
                </c:pt>
                <c:pt idx="100">
                  <c:v>3.3234018715767668</c:v>
                </c:pt>
                <c:pt idx="101">
                  <c:v>3.3941125496954214</c:v>
                </c:pt>
                <c:pt idx="102">
                  <c:v>3.464823227814076</c:v>
                </c:pt>
                <c:pt idx="103">
                  <c:v>3.5355339059327306</c:v>
                </c:pt>
                <c:pt idx="104">
                  <c:v>3.7123106012293672</c:v>
                </c:pt>
                <c:pt idx="105">
                  <c:v>3.8890872965260042</c:v>
                </c:pt>
                <c:pt idx="106">
                  <c:v>4.0658639918226411</c:v>
                </c:pt>
                <c:pt idx="107">
                  <c:v>4.2426406871192777</c:v>
                </c:pt>
                <c:pt idx="108">
                  <c:v>4.4194173824159151</c:v>
                </c:pt>
                <c:pt idx="109">
                  <c:v>4.5961940777125516</c:v>
                </c:pt>
                <c:pt idx="110">
                  <c:v>4.7729707730091882</c:v>
                </c:pt>
                <c:pt idx="111">
                  <c:v>4.9497474683058256</c:v>
                </c:pt>
                <c:pt idx="112">
                  <c:v>5.1265241636024621</c:v>
                </c:pt>
                <c:pt idx="113">
                  <c:v>5.3033008588990995</c:v>
                </c:pt>
                <c:pt idx="114">
                  <c:v>5.4800775541957361</c:v>
                </c:pt>
                <c:pt idx="115">
                  <c:v>5.6568542494923726</c:v>
                </c:pt>
                <c:pt idx="116">
                  <c:v>5.8336309447890091</c:v>
                </c:pt>
                <c:pt idx="117">
                  <c:v>6.0104076400856457</c:v>
                </c:pt>
                <c:pt idx="118">
                  <c:v>6.1871843353822831</c:v>
                </c:pt>
                <c:pt idx="119">
                  <c:v>6.3639610306789196</c:v>
                </c:pt>
                <c:pt idx="120">
                  <c:v>6.540737725975557</c:v>
                </c:pt>
                <c:pt idx="121">
                  <c:v>6.7175144212721936</c:v>
                </c:pt>
                <c:pt idx="122">
                  <c:v>6.8942911165688301</c:v>
                </c:pt>
                <c:pt idx="123">
                  <c:v>7.0710678118654675</c:v>
                </c:pt>
              </c:numCache>
            </c:numRef>
          </c:xVal>
          <c:yVal>
            <c:numRef>
              <c:f>'LCVR 667'!$H$3:$H$126</c:f>
              <c:numCache>
                <c:formatCode>General</c:formatCode>
                <c:ptCount val="124"/>
                <c:pt idx="0">
                  <c:v>105.07</c:v>
                </c:pt>
                <c:pt idx="1">
                  <c:v>105.01</c:v>
                </c:pt>
                <c:pt idx="2">
                  <c:v>105.19</c:v>
                </c:pt>
                <c:pt idx="3">
                  <c:v>105.26</c:v>
                </c:pt>
                <c:pt idx="4">
                  <c:v>105.26</c:v>
                </c:pt>
                <c:pt idx="5">
                  <c:v>105.44</c:v>
                </c:pt>
                <c:pt idx="6">
                  <c:v>105.62</c:v>
                </c:pt>
                <c:pt idx="7">
                  <c:v>106.11</c:v>
                </c:pt>
                <c:pt idx="8">
                  <c:v>106.38</c:v>
                </c:pt>
                <c:pt idx="9">
                  <c:v>106.45</c:v>
                </c:pt>
                <c:pt idx="10">
                  <c:v>106.93</c:v>
                </c:pt>
                <c:pt idx="11">
                  <c:v>107.82</c:v>
                </c:pt>
                <c:pt idx="12">
                  <c:v>109.44</c:v>
                </c:pt>
                <c:pt idx="13">
                  <c:v>112.18</c:v>
                </c:pt>
                <c:pt idx="14">
                  <c:v>116.67</c:v>
                </c:pt>
                <c:pt idx="15">
                  <c:v>122.83</c:v>
                </c:pt>
                <c:pt idx="16">
                  <c:v>130.16</c:v>
                </c:pt>
                <c:pt idx="17">
                  <c:v>138.84</c:v>
                </c:pt>
                <c:pt idx="18">
                  <c:v>147.03</c:v>
                </c:pt>
                <c:pt idx="19">
                  <c:v>155.12</c:v>
                </c:pt>
                <c:pt idx="20">
                  <c:v>162.72</c:v>
                </c:pt>
                <c:pt idx="21">
                  <c:v>169.53</c:v>
                </c:pt>
                <c:pt idx="22">
                  <c:v>175.51</c:v>
                </c:pt>
                <c:pt idx="23">
                  <c:v>180.24</c:v>
                </c:pt>
                <c:pt idx="24">
                  <c:v>184.45</c:v>
                </c:pt>
                <c:pt idx="25">
                  <c:v>186.55</c:v>
                </c:pt>
                <c:pt idx="26">
                  <c:v>186.89</c:v>
                </c:pt>
                <c:pt idx="27">
                  <c:v>187.16</c:v>
                </c:pt>
                <c:pt idx="28">
                  <c:v>187.32</c:v>
                </c:pt>
                <c:pt idx="29">
                  <c:v>187.41</c:v>
                </c:pt>
                <c:pt idx="30">
                  <c:v>187.5</c:v>
                </c:pt>
                <c:pt idx="31">
                  <c:v>187.56</c:v>
                </c:pt>
                <c:pt idx="32">
                  <c:v>187.77</c:v>
                </c:pt>
                <c:pt idx="33">
                  <c:v>187.71</c:v>
                </c:pt>
                <c:pt idx="34">
                  <c:v>187.68</c:v>
                </c:pt>
                <c:pt idx="35">
                  <c:v>187.59</c:v>
                </c:pt>
                <c:pt idx="36">
                  <c:v>187.5</c:v>
                </c:pt>
                <c:pt idx="37">
                  <c:v>187.44</c:v>
                </c:pt>
                <c:pt idx="38">
                  <c:v>187.32</c:v>
                </c:pt>
                <c:pt idx="39">
                  <c:v>187.07</c:v>
                </c:pt>
                <c:pt idx="40">
                  <c:v>186.8</c:v>
                </c:pt>
                <c:pt idx="41">
                  <c:v>186.46</c:v>
                </c:pt>
                <c:pt idx="42">
                  <c:v>186.22</c:v>
                </c:pt>
                <c:pt idx="43">
                  <c:v>185.52</c:v>
                </c:pt>
                <c:pt idx="44">
                  <c:v>182.71</c:v>
                </c:pt>
                <c:pt idx="45">
                  <c:v>178.83</c:v>
                </c:pt>
                <c:pt idx="46">
                  <c:v>174.32</c:v>
                </c:pt>
                <c:pt idx="47">
                  <c:v>168.88</c:v>
                </c:pt>
                <c:pt idx="48">
                  <c:v>163.15</c:v>
                </c:pt>
                <c:pt idx="49">
                  <c:v>157.1</c:v>
                </c:pt>
                <c:pt idx="50">
                  <c:v>151</c:v>
                </c:pt>
                <c:pt idx="51">
                  <c:v>144.68</c:v>
                </c:pt>
                <c:pt idx="52">
                  <c:v>138.31</c:v>
                </c:pt>
                <c:pt idx="53">
                  <c:v>132.02000000000001</c:v>
                </c:pt>
                <c:pt idx="54">
                  <c:v>125.89</c:v>
                </c:pt>
                <c:pt idx="55">
                  <c:v>119.9</c:v>
                </c:pt>
                <c:pt idx="56">
                  <c:v>114.17</c:v>
                </c:pt>
                <c:pt idx="57">
                  <c:v>108.7</c:v>
                </c:pt>
                <c:pt idx="58">
                  <c:v>103.39</c:v>
                </c:pt>
                <c:pt idx="59">
                  <c:v>98.48</c:v>
                </c:pt>
                <c:pt idx="60">
                  <c:v>93.81</c:v>
                </c:pt>
                <c:pt idx="61">
                  <c:v>89.39</c:v>
                </c:pt>
                <c:pt idx="62">
                  <c:v>85.14</c:v>
                </c:pt>
                <c:pt idx="63">
                  <c:v>81.150000000000006</c:v>
                </c:pt>
                <c:pt idx="64">
                  <c:v>77.36</c:v>
                </c:pt>
                <c:pt idx="65">
                  <c:v>73.790000000000006</c:v>
                </c:pt>
                <c:pt idx="66">
                  <c:v>70.400000000000006</c:v>
                </c:pt>
                <c:pt idx="67">
                  <c:v>67.23</c:v>
                </c:pt>
                <c:pt idx="68">
                  <c:v>64.239999999999995</c:v>
                </c:pt>
                <c:pt idx="69">
                  <c:v>61.46</c:v>
                </c:pt>
                <c:pt idx="70">
                  <c:v>58.81</c:v>
                </c:pt>
                <c:pt idx="71">
                  <c:v>56.37</c:v>
                </c:pt>
                <c:pt idx="72">
                  <c:v>54.05</c:v>
                </c:pt>
                <c:pt idx="73">
                  <c:v>51.85</c:v>
                </c:pt>
                <c:pt idx="74">
                  <c:v>49.77</c:v>
                </c:pt>
                <c:pt idx="75">
                  <c:v>47.85</c:v>
                </c:pt>
                <c:pt idx="76">
                  <c:v>46.02</c:v>
                </c:pt>
                <c:pt idx="77">
                  <c:v>44.34</c:v>
                </c:pt>
                <c:pt idx="78">
                  <c:v>42.72</c:v>
                </c:pt>
                <c:pt idx="79">
                  <c:v>41.17</c:v>
                </c:pt>
                <c:pt idx="80">
                  <c:v>39.76</c:v>
                </c:pt>
                <c:pt idx="81">
                  <c:v>38.36</c:v>
                </c:pt>
                <c:pt idx="82">
                  <c:v>37.08</c:v>
                </c:pt>
                <c:pt idx="83">
                  <c:v>35.83</c:v>
                </c:pt>
                <c:pt idx="84">
                  <c:v>34.700000000000003</c:v>
                </c:pt>
                <c:pt idx="85">
                  <c:v>33.57</c:v>
                </c:pt>
                <c:pt idx="86">
                  <c:v>32.53</c:v>
                </c:pt>
                <c:pt idx="87">
                  <c:v>31.52</c:v>
                </c:pt>
                <c:pt idx="88">
                  <c:v>30.58</c:v>
                </c:pt>
                <c:pt idx="89">
                  <c:v>29.66</c:v>
                </c:pt>
                <c:pt idx="90">
                  <c:v>28.78</c:v>
                </c:pt>
                <c:pt idx="91">
                  <c:v>27.95</c:v>
                </c:pt>
                <c:pt idx="92">
                  <c:v>27.16</c:v>
                </c:pt>
                <c:pt idx="93">
                  <c:v>26.4</c:v>
                </c:pt>
                <c:pt idx="94">
                  <c:v>24.93</c:v>
                </c:pt>
                <c:pt idx="95">
                  <c:v>23.62</c:v>
                </c:pt>
                <c:pt idx="96">
                  <c:v>22.43</c:v>
                </c:pt>
                <c:pt idx="97">
                  <c:v>21.33</c:v>
                </c:pt>
                <c:pt idx="98">
                  <c:v>20.29</c:v>
                </c:pt>
                <c:pt idx="99">
                  <c:v>19.32</c:v>
                </c:pt>
                <c:pt idx="100">
                  <c:v>18.43</c:v>
                </c:pt>
                <c:pt idx="101">
                  <c:v>17.61</c:v>
                </c:pt>
                <c:pt idx="102">
                  <c:v>16.850000000000001</c:v>
                </c:pt>
                <c:pt idx="103">
                  <c:v>16.11</c:v>
                </c:pt>
                <c:pt idx="104">
                  <c:v>14.53</c:v>
                </c:pt>
                <c:pt idx="105">
                  <c:v>13.15</c:v>
                </c:pt>
                <c:pt idx="106">
                  <c:v>11.96</c:v>
                </c:pt>
                <c:pt idx="107">
                  <c:v>10.93</c:v>
                </c:pt>
                <c:pt idx="108">
                  <c:v>10.01</c:v>
                </c:pt>
                <c:pt idx="109">
                  <c:v>9.25</c:v>
                </c:pt>
                <c:pt idx="110">
                  <c:v>8.5399999999999991</c:v>
                </c:pt>
                <c:pt idx="111">
                  <c:v>7.87</c:v>
                </c:pt>
                <c:pt idx="112">
                  <c:v>7.32</c:v>
                </c:pt>
                <c:pt idx="113">
                  <c:v>6.84</c:v>
                </c:pt>
                <c:pt idx="114">
                  <c:v>6.38</c:v>
                </c:pt>
                <c:pt idx="115">
                  <c:v>5.98</c:v>
                </c:pt>
                <c:pt idx="116">
                  <c:v>5.62</c:v>
                </c:pt>
                <c:pt idx="117">
                  <c:v>5.28</c:v>
                </c:pt>
                <c:pt idx="118">
                  <c:v>4.97</c:v>
                </c:pt>
                <c:pt idx="119">
                  <c:v>4.67</c:v>
                </c:pt>
                <c:pt idx="120">
                  <c:v>4.43</c:v>
                </c:pt>
                <c:pt idx="121">
                  <c:v>4.18</c:v>
                </c:pt>
                <c:pt idx="122">
                  <c:v>3.92</c:v>
                </c:pt>
                <c:pt idx="123">
                  <c:v>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7A-4364-AD64-4A5B6E1FC281}"/>
            </c:ext>
          </c:extLst>
        </c:ser>
        <c:ser>
          <c:idx val="1"/>
          <c:order val="1"/>
          <c:tx>
            <c:strRef>
              <c:f>'LCVR 667'!$I$1</c:f>
              <c:strCache>
                <c:ptCount val="1"/>
                <c:pt idx="0">
                  <c:v>I_normed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'LCVR 667'!$G$3:$G$126</c:f>
              <c:numCache>
                <c:formatCode>General</c:formatCode>
                <c:ptCount val="124"/>
                <c:pt idx="0">
                  <c:v>7.0710678118654752E-2</c:v>
                </c:pt>
                <c:pt idx="1">
                  <c:v>0.10606601717798214</c:v>
                </c:pt>
                <c:pt idx="2">
                  <c:v>0.1414213562373095</c:v>
                </c:pt>
                <c:pt idx="3">
                  <c:v>0.17677669529663687</c:v>
                </c:pt>
                <c:pt idx="4">
                  <c:v>0.21213203435596423</c:v>
                </c:pt>
                <c:pt idx="5">
                  <c:v>0.24748737341529159</c:v>
                </c:pt>
                <c:pt idx="6">
                  <c:v>0.28284271247461895</c:v>
                </c:pt>
                <c:pt idx="7">
                  <c:v>0.31819805153394631</c:v>
                </c:pt>
                <c:pt idx="8">
                  <c:v>0.35355339059327368</c:v>
                </c:pt>
                <c:pt idx="9">
                  <c:v>0.38890872965260104</c:v>
                </c:pt>
                <c:pt idx="10">
                  <c:v>0.42426406871192845</c:v>
                </c:pt>
                <c:pt idx="11">
                  <c:v>0.45961940777125587</c:v>
                </c:pt>
                <c:pt idx="12">
                  <c:v>0.49497474683058329</c:v>
                </c:pt>
                <c:pt idx="13">
                  <c:v>0.53033008588991071</c:v>
                </c:pt>
                <c:pt idx="14">
                  <c:v>0.56568542494923812</c:v>
                </c:pt>
                <c:pt idx="15">
                  <c:v>0.60104076400856554</c:v>
                </c:pt>
                <c:pt idx="16">
                  <c:v>0.63639610306789285</c:v>
                </c:pt>
                <c:pt idx="17">
                  <c:v>0.67175144212722027</c:v>
                </c:pt>
                <c:pt idx="18">
                  <c:v>0.70710678118654768</c:v>
                </c:pt>
                <c:pt idx="19">
                  <c:v>0.74246212024587499</c:v>
                </c:pt>
                <c:pt idx="20">
                  <c:v>0.77781745930520241</c:v>
                </c:pt>
                <c:pt idx="21">
                  <c:v>0.81317279836452983</c:v>
                </c:pt>
                <c:pt idx="22">
                  <c:v>0.84852813742385724</c:v>
                </c:pt>
                <c:pt idx="23">
                  <c:v>0.88388347648318466</c:v>
                </c:pt>
                <c:pt idx="24">
                  <c:v>0.91923881554251208</c:v>
                </c:pt>
                <c:pt idx="25">
                  <c:v>0.9545941546018395</c:v>
                </c:pt>
                <c:pt idx="26">
                  <c:v>0.961665222413705</c:v>
                </c:pt>
                <c:pt idx="27">
                  <c:v>0.9687362902255704</c:v>
                </c:pt>
                <c:pt idx="28">
                  <c:v>0.9758073580374359</c:v>
                </c:pt>
                <c:pt idx="29">
                  <c:v>0.98287842584930141</c:v>
                </c:pt>
                <c:pt idx="30">
                  <c:v>0.98994949366116691</c:v>
                </c:pt>
                <c:pt idx="31">
                  <c:v>0.99702056147303231</c:v>
                </c:pt>
                <c:pt idx="32">
                  <c:v>1.0040916292848978</c:v>
                </c:pt>
                <c:pt idx="33">
                  <c:v>1.0076271631908305</c:v>
                </c:pt>
                <c:pt idx="34">
                  <c:v>1.0111626970967631</c:v>
                </c:pt>
                <c:pt idx="35">
                  <c:v>1.0146982310026957</c:v>
                </c:pt>
                <c:pt idx="36">
                  <c:v>1.0182337649086284</c:v>
                </c:pt>
                <c:pt idx="37">
                  <c:v>1.0217692988145612</c:v>
                </c:pt>
                <c:pt idx="38">
                  <c:v>1.0253048327204939</c:v>
                </c:pt>
                <c:pt idx="39">
                  <c:v>1.0323759005323594</c:v>
                </c:pt>
                <c:pt idx="40">
                  <c:v>1.0394469683442247</c:v>
                </c:pt>
                <c:pt idx="41">
                  <c:v>1.0465180361560902</c:v>
                </c:pt>
                <c:pt idx="42">
                  <c:v>1.0535891039679557</c:v>
                </c:pt>
                <c:pt idx="43">
                  <c:v>1.0606601717798212</c:v>
                </c:pt>
                <c:pt idx="44">
                  <c:v>1.0960155108391487</c:v>
                </c:pt>
                <c:pt idx="45">
                  <c:v>1.131370849898476</c:v>
                </c:pt>
                <c:pt idx="46">
                  <c:v>1.1667261889578033</c:v>
                </c:pt>
                <c:pt idx="47">
                  <c:v>1.2020815280171309</c:v>
                </c:pt>
                <c:pt idx="48">
                  <c:v>1.2374368670764582</c:v>
                </c:pt>
                <c:pt idx="49">
                  <c:v>1.2727922061357857</c:v>
                </c:pt>
                <c:pt idx="50">
                  <c:v>1.308147545195113</c:v>
                </c:pt>
                <c:pt idx="51">
                  <c:v>1.3435028842544405</c:v>
                </c:pt>
                <c:pt idx="52">
                  <c:v>1.3788582233137678</c:v>
                </c:pt>
                <c:pt idx="53">
                  <c:v>1.4142135623730954</c:v>
                </c:pt>
                <c:pt idx="54">
                  <c:v>1.4495689014324225</c:v>
                </c:pt>
                <c:pt idx="55">
                  <c:v>1.4849242404917498</c:v>
                </c:pt>
                <c:pt idx="56">
                  <c:v>1.5202795795510771</c:v>
                </c:pt>
                <c:pt idx="57">
                  <c:v>1.5556349186104041</c:v>
                </c:pt>
                <c:pt idx="58">
                  <c:v>1.5909902576697315</c:v>
                </c:pt>
                <c:pt idx="59">
                  <c:v>1.6263455967290588</c:v>
                </c:pt>
                <c:pt idx="60">
                  <c:v>1.6617009357883861</c:v>
                </c:pt>
                <c:pt idx="61">
                  <c:v>1.6970562748477132</c:v>
                </c:pt>
                <c:pt idx="62">
                  <c:v>1.7324116139070405</c:v>
                </c:pt>
                <c:pt idx="63">
                  <c:v>1.7677669529663678</c:v>
                </c:pt>
                <c:pt idx="64">
                  <c:v>1.8031222920256951</c:v>
                </c:pt>
                <c:pt idx="65">
                  <c:v>1.8384776310850222</c:v>
                </c:pt>
                <c:pt idx="66">
                  <c:v>1.8738329701443495</c:v>
                </c:pt>
                <c:pt idx="67">
                  <c:v>1.9091883092036768</c:v>
                </c:pt>
                <c:pt idx="68">
                  <c:v>1.9445436482630041</c:v>
                </c:pt>
                <c:pt idx="69">
                  <c:v>1.9798989873223312</c:v>
                </c:pt>
                <c:pt idx="70">
                  <c:v>2.0152543263816587</c:v>
                </c:pt>
                <c:pt idx="71">
                  <c:v>2.0506096654409856</c:v>
                </c:pt>
                <c:pt idx="72">
                  <c:v>2.0859650045003129</c:v>
                </c:pt>
                <c:pt idx="73">
                  <c:v>2.1213203435596402</c:v>
                </c:pt>
                <c:pt idx="74">
                  <c:v>2.1566756826189675</c:v>
                </c:pt>
                <c:pt idx="75">
                  <c:v>2.1920310216782948</c:v>
                </c:pt>
                <c:pt idx="76">
                  <c:v>2.2273863607376221</c:v>
                </c:pt>
                <c:pt idx="77">
                  <c:v>2.2627416997969494</c:v>
                </c:pt>
                <c:pt idx="78">
                  <c:v>2.2980970388562763</c:v>
                </c:pt>
                <c:pt idx="79">
                  <c:v>2.3334523779156036</c:v>
                </c:pt>
                <c:pt idx="80">
                  <c:v>2.3688077169749309</c:v>
                </c:pt>
                <c:pt idx="81">
                  <c:v>2.4041630560342582</c:v>
                </c:pt>
                <c:pt idx="82">
                  <c:v>2.4395183950935855</c:v>
                </c:pt>
                <c:pt idx="83">
                  <c:v>2.4748737341529128</c:v>
                </c:pt>
                <c:pt idx="84">
                  <c:v>2.5102290732122401</c:v>
                </c:pt>
                <c:pt idx="85">
                  <c:v>2.5455844122715674</c:v>
                </c:pt>
                <c:pt idx="86">
                  <c:v>2.5809397513308943</c:v>
                </c:pt>
                <c:pt idx="87">
                  <c:v>2.6162950903902216</c:v>
                </c:pt>
                <c:pt idx="88">
                  <c:v>2.6516504294495489</c:v>
                </c:pt>
                <c:pt idx="89">
                  <c:v>2.6870057685088762</c:v>
                </c:pt>
                <c:pt idx="90">
                  <c:v>2.7223611075682035</c:v>
                </c:pt>
                <c:pt idx="91">
                  <c:v>2.7577164466275308</c:v>
                </c:pt>
                <c:pt idx="92">
                  <c:v>2.7930717856868581</c:v>
                </c:pt>
                <c:pt idx="93">
                  <c:v>2.8284271247461854</c:v>
                </c:pt>
                <c:pt idx="94">
                  <c:v>2.89913780286484</c:v>
                </c:pt>
                <c:pt idx="95">
                  <c:v>2.9698484809834946</c:v>
                </c:pt>
                <c:pt idx="96">
                  <c:v>3.0405591591021488</c:v>
                </c:pt>
                <c:pt idx="97">
                  <c:v>3.1112698372208034</c:v>
                </c:pt>
                <c:pt idx="98">
                  <c:v>3.181980515339458</c:v>
                </c:pt>
                <c:pt idx="99">
                  <c:v>3.2526911934581126</c:v>
                </c:pt>
                <c:pt idx="100">
                  <c:v>3.3234018715767668</c:v>
                </c:pt>
                <c:pt idx="101">
                  <c:v>3.3941125496954214</c:v>
                </c:pt>
                <c:pt idx="102">
                  <c:v>3.464823227814076</c:v>
                </c:pt>
                <c:pt idx="103">
                  <c:v>3.5355339059327306</c:v>
                </c:pt>
                <c:pt idx="104">
                  <c:v>3.7123106012293672</c:v>
                </c:pt>
                <c:pt idx="105">
                  <c:v>3.8890872965260042</c:v>
                </c:pt>
                <c:pt idx="106">
                  <c:v>4.0658639918226411</c:v>
                </c:pt>
                <c:pt idx="107">
                  <c:v>4.2426406871192777</c:v>
                </c:pt>
                <c:pt idx="108">
                  <c:v>4.4194173824159151</c:v>
                </c:pt>
                <c:pt idx="109">
                  <c:v>4.5961940777125516</c:v>
                </c:pt>
                <c:pt idx="110">
                  <c:v>4.7729707730091882</c:v>
                </c:pt>
                <c:pt idx="111">
                  <c:v>4.9497474683058256</c:v>
                </c:pt>
                <c:pt idx="112">
                  <c:v>5.1265241636024621</c:v>
                </c:pt>
                <c:pt idx="113">
                  <c:v>5.3033008588990995</c:v>
                </c:pt>
                <c:pt idx="114">
                  <c:v>5.4800775541957361</c:v>
                </c:pt>
                <c:pt idx="115">
                  <c:v>5.6568542494923726</c:v>
                </c:pt>
                <c:pt idx="116">
                  <c:v>5.8336309447890091</c:v>
                </c:pt>
                <c:pt idx="117">
                  <c:v>6.0104076400856457</c:v>
                </c:pt>
                <c:pt idx="118">
                  <c:v>6.1871843353822831</c:v>
                </c:pt>
                <c:pt idx="119">
                  <c:v>6.3639610306789196</c:v>
                </c:pt>
                <c:pt idx="120">
                  <c:v>6.540737725975557</c:v>
                </c:pt>
                <c:pt idx="121">
                  <c:v>6.7175144212721936</c:v>
                </c:pt>
                <c:pt idx="122">
                  <c:v>6.8942911165688301</c:v>
                </c:pt>
                <c:pt idx="123">
                  <c:v>7.0710678118654675</c:v>
                </c:pt>
              </c:numCache>
            </c:numRef>
          </c:xVal>
          <c:yVal>
            <c:numRef>
              <c:f>'LCVR 667'!$I$3:$I$126</c:f>
              <c:numCache>
                <c:formatCode>General</c:formatCode>
                <c:ptCount val="124"/>
                <c:pt idx="0">
                  <c:v>105.13228215767634</c:v>
                </c:pt>
                <c:pt idx="1">
                  <c:v>105.01</c:v>
                </c:pt>
                <c:pt idx="2">
                  <c:v>105.25235328986368</c:v>
                </c:pt>
                <c:pt idx="3">
                  <c:v>105.32239478363962</c:v>
                </c:pt>
                <c:pt idx="4">
                  <c:v>105.26</c:v>
                </c:pt>
                <c:pt idx="5">
                  <c:v>105.56507710557534</c:v>
                </c:pt>
                <c:pt idx="6">
                  <c:v>105.74529062870702</c:v>
                </c:pt>
                <c:pt idx="7">
                  <c:v>106.17289863663309</c:v>
                </c:pt>
                <c:pt idx="8">
                  <c:v>106.56940059347181</c:v>
                </c:pt>
                <c:pt idx="9">
                  <c:v>106.63952522255194</c:v>
                </c:pt>
                <c:pt idx="10">
                  <c:v>107.12037982195848</c:v>
                </c:pt>
                <c:pt idx="11">
                  <c:v>108.14032085561496</c:v>
                </c:pt>
                <c:pt idx="12">
                  <c:v>109.63484866468843</c:v>
                </c:pt>
                <c:pt idx="13">
                  <c:v>112.44646080760097</c:v>
                </c:pt>
                <c:pt idx="14">
                  <c:v>116.87772106824926</c:v>
                </c:pt>
                <c:pt idx="15">
                  <c:v>123.19491384432561</c:v>
                </c:pt>
                <c:pt idx="16">
                  <c:v>130.70201070791197</c:v>
                </c:pt>
                <c:pt idx="17">
                  <c:v>139.3352675386445</c:v>
                </c:pt>
                <c:pt idx="18">
                  <c:v>147.73014285714285</c:v>
                </c:pt>
                <c:pt idx="19">
                  <c:v>155.7659488399762</c:v>
                </c:pt>
                <c:pt idx="20">
                  <c:v>163.30045184304402</c:v>
                </c:pt>
                <c:pt idx="21">
                  <c:v>170.13474435196196</c:v>
                </c:pt>
                <c:pt idx="22">
                  <c:v>176.13607609988111</c:v>
                </c:pt>
                <c:pt idx="23">
                  <c:v>180.99055324211781</c:v>
                </c:pt>
                <c:pt idx="24">
                  <c:v>184.99797979797978</c:v>
                </c:pt>
                <c:pt idx="25">
                  <c:v>187.21545778834724</c:v>
                </c:pt>
                <c:pt idx="26">
                  <c:v>187.55667063020215</c:v>
                </c:pt>
                <c:pt idx="27">
                  <c:v>187.82763376932226</c:v>
                </c:pt>
                <c:pt idx="28">
                  <c:v>188.10003569303987</c:v>
                </c:pt>
                <c:pt idx="29">
                  <c:v>188.19041046995838</c:v>
                </c:pt>
                <c:pt idx="30">
                  <c:v>188.39285714285717</c:v>
                </c:pt>
                <c:pt idx="31">
                  <c:v>188.45314285714289</c:v>
                </c:pt>
                <c:pt idx="32">
                  <c:v>188.66414285714288</c:v>
                </c:pt>
                <c:pt idx="33">
                  <c:v>188.60385714285718</c:v>
                </c:pt>
                <c:pt idx="34">
                  <c:v>188.68602739726029</c:v>
                </c:pt>
                <c:pt idx="35">
                  <c:v>188.82046511627911</c:v>
                </c:pt>
                <c:pt idx="36">
                  <c:v>188.95522388059703</c:v>
                </c:pt>
                <c:pt idx="37">
                  <c:v>188.89475820895524</c:v>
                </c:pt>
                <c:pt idx="38">
                  <c:v>188.77382686567165</c:v>
                </c:pt>
                <c:pt idx="39">
                  <c:v>188.52188656716419</c:v>
                </c:pt>
                <c:pt idx="40">
                  <c:v>188.24979104477615</c:v>
                </c:pt>
                <c:pt idx="41">
                  <c:v>187.90715223880599</c:v>
                </c:pt>
                <c:pt idx="42">
                  <c:v>187.66528955223882</c:v>
                </c:pt>
                <c:pt idx="43">
                  <c:v>187.18335923490736</c:v>
                </c:pt>
                <c:pt idx="44">
                  <c:v>184.45842105263162</c:v>
                </c:pt>
                <c:pt idx="45">
                  <c:v>180.54129186602876</c:v>
                </c:pt>
                <c:pt idx="46">
                  <c:v>175.98813397129189</c:v>
                </c:pt>
                <c:pt idx="47">
                  <c:v>170.70026347305389</c:v>
                </c:pt>
                <c:pt idx="48">
                  <c:v>164.8098144823459</c:v>
                </c:pt>
                <c:pt idx="49">
                  <c:v>158.60334928229665</c:v>
                </c:pt>
                <c:pt idx="50">
                  <c:v>152.17194029850748</c:v>
                </c:pt>
                <c:pt idx="51">
                  <c:v>145.80288955223884</c:v>
                </c:pt>
                <c:pt idx="52">
                  <c:v>139.38345074626866</c:v>
                </c:pt>
                <c:pt idx="53">
                  <c:v>133.12410991636798</c:v>
                </c:pt>
                <c:pt idx="54">
                  <c:v>126.94284348864994</c:v>
                </c:pt>
                <c:pt idx="55">
                  <c:v>120.90274790919953</c:v>
                </c:pt>
                <c:pt idx="56">
                  <c:v>115.12482676224612</c:v>
                </c:pt>
                <c:pt idx="57">
                  <c:v>109.60908004778973</c:v>
                </c:pt>
                <c:pt idx="58">
                  <c:v>104.25467144563919</c:v>
                </c:pt>
                <c:pt idx="59">
                  <c:v>99.185107398568036</c:v>
                </c:pt>
                <c:pt idx="60">
                  <c:v>94.369058402860546</c:v>
                </c:pt>
                <c:pt idx="61">
                  <c:v>89.869160214413341</c:v>
                </c:pt>
                <c:pt idx="62">
                  <c:v>85.545428571428573</c:v>
                </c:pt>
                <c:pt idx="63">
                  <c:v>81.536428571428587</c:v>
                </c:pt>
                <c:pt idx="64">
                  <c:v>77.728380952380959</c:v>
                </c:pt>
                <c:pt idx="65">
                  <c:v>74.14138095238097</c:v>
                </c:pt>
                <c:pt idx="66">
                  <c:v>70.77736748064325</c:v>
                </c:pt>
                <c:pt idx="67">
                  <c:v>67.590375223347237</c:v>
                </c:pt>
                <c:pt idx="68">
                  <c:v>64.584347826086955</c:v>
                </c:pt>
                <c:pt idx="69">
                  <c:v>61.789446098868375</c:v>
                </c:pt>
                <c:pt idx="70">
                  <c:v>59.125241215008934</c:v>
                </c:pt>
                <c:pt idx="71">
                  <c:v>56.672162001191182</c:v>
                </c:pt>
                <c:pt idx="72">
                  <c:v>54.37210965435041</c:v>
                </c:pt>
                <c:pt idx="73">
                  <c:v>52.127933293627159</c:v>
                </c:pt>
                <c:pt idx="74">
                  <c:v>50.066603098927295</c:v>
                </c:pt>
                <c:pt idx="75">
                  <c:v>48.135160905840287</c:v>
                </c:pt>
                <c:pt idx="76">
                  <c:v>46.294255065554239</c:v>
                </c:pt>
                <c:pt idx="77">
                  <c:v>44.604243146603103</c:v>
                </c:pt>
                <c:pt idx="78">
                  <c:v>42.974588796185934</c:v>
                </c:pt>
                <c:pt idx="79">
                  <c:v>41.440047704233763</c:v>
                </c:pt>
                <c:pt idx="80">
                  <c:v>40.020799045915332</c:v>
                </c:pt>
                <c:pt idx="81">
                  <c:v>38.65771940298508</c:v>
                </c:pt>
                <c:pt idx="82">
                  <c:v>37.345489260143204</c:v>
                </c:pt>
                <c:pt idx="83">
                  <c:v>36.108083582089556</c:v>
                </c:pt>
                <c:pt idx="84">
                  <c:v>34.969313432835825</c:v>
                </c:pt>
                <c:pt idx="85">
                  <c:v>33.830543283582088</c:v>
                </c:pt>
                <c:pt idx="86">
                  <c:v>32.782471641791048</c:v>
                </c:pt>
                <c:pt idx="87">
                  <c:v>31.745680190930788</c:v>
                </c:pt>
                <c:pt idx="88">
                  <c:v>30.79894988066826</c:v>
                </c:pt>
                <c:pt idx="89">
                  <c:v>29.85454979129398</c:v>
                </c:pt>
                <c:pt idx="90">
                  <c:v>28.986062052505968</c:v>
                </c:pt>
                <c:pt idx="91">
                  <c:v>28.16692537313433</c:v>
                </c:pt>
                <c:pt idx="92">
                  <c:v>27.354463007159907</c:v>
                </c:pt>
                <c:pt idx="93">
                  <c:v>26.589021479713605</c:v>
                </c:pt>
                <c:pt idx="94">
                  <c:v>25.138494623655916</c:v>
                </c:pt>
                <c:pt idx="95">
                  <c:v>23.817538829151733</c:v>
                </c:pt>
                <c:pt idx="96">
                  <c:v>22.631105797967724</c:v>
                </c:pt>
                <c:pt idx="97">
                  <c:v>21.508387096774193</c:v>
                </c:pt>
                <c:pt idx="98">
                  <c:v>20.471918708906156</c:v>
                </c:pt>
                <c:pt idx="99">
                  <c:v>19.493221757322175</c:v>
                </c:pt>
                <c:pt idx="100">
                  <c:v>18.595242080095638</c:v>
                </c:pt>
                <c:pt idx="101">
                  <c:v>17.767890017931858</c:v>
                </c:pt>
                <c:pt idx="102">
                  <c:v>16.990919952210277</c:v>
                </c:pt>
                <c:pt idx="103">
                  <c:v>16.244731182795697</c:v>
                </c:pt>
                <c:pt idx="104">
                  <c:v>14.651517323775389</c:v>
                </c:pt>
                <c:pt idx="105">
                  <c:v>13.259976105137396</c:v>
                </c:pt>
                <c:pt idx="106">
                  <c:v>12.060023894862605</c:v>
                </c:pt>
                <c:pt idx="107">
                  <c:v>11.021409796893668</c:v>
                </c:pt>
                <c:pt idx="108">
                  <c:v>10.087689552238807</c:v>
                </c:pt>
                <c:pt idx="109">
                  <c:v>9.3217910447761199</c:v>
                </c:pt>
                <c:pt idx="110">
                  <c:v>8.6062805970149245</c:v>
                </c:pt>
                <c:pt idx="111">
                  <c:v>7.9358183990442059</c:v>
                </c:pt>
                <c:pt idx="112">
                  <c:v>7.3812186379928324</c:v>
                </c:pt>
                <c:pt idx="113">
                  <c:v>6.8930865671641799</c:v>
                </c:pt>
                <c:pt idx="114">
                  <c:v>6.4295164179104471</c:v>
                </c:pt>
                <c:pt idx="115">
                  <c:v>6.0264119402985079</c:v>
                </c:pt>
                <c:pt idx="116">
                  <c:v>5.663617910447762</c:v>
                </c:pt>
                <c:pt idx="117">
                  <c:v>5.3209791044776127</c:v>
                </c:pt>
                <c:pt idx="118">
                  <c:v>5.0085731343283584</c:v>
                </c:pt>
                <c:pt idx="119">
                  <c:v>4.7062447761194033</c:v>
                </c:pt>
                <c:pt idx="120">
                  <c:v>4.464382089552239</c:v>
                </c:pt>
                <c:pt idx="121">
                  <c:v>4.2124417910447756</c:v>
                </c:pt>
                <c:pt idx="122">
                  <c:v>3.9504238805970151</c:v>
                </c:pt>
                <c:pt idx="123">
                  <c:v>3.7791044776119405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7A-4364-AD64-4A5B6E1FC281}"/>
            </c:ext>
          </c:extLst>
        </c:ser>
        <c:ser>
          <c:idx val="2"/>
          <c:order val="2"/>
          <c:tx>
            <c:strRef>
              <c:f>'LCVR 667'!$J$1</c:f>
              <c:strCache>
                <c:ptCount val="1"/>
                <c:pt idx="0">
                  <c:v>f (rad)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'LCVR 667'!$G$3:$G$126</c:f>
              <c:numCache>
                <c:formatCode>General</c:formatCode>
                <c:ptCount val="124"/>
                <c:pt idx="0">
                  <c:v>7.0710678118654752E-2</c:v>
                </c:pt>
                <c:pt idx="1">
                  <c:v>0.10606601717798214</c:v>
                </c:pt>
                <c:pt idx="2">
                  <c:v>0.1414213562373095</c:v>
                </c:pt>
                <c:pt idx="3">
                  <c:v>0.17677669529663687</c:v>
                </c:pt>
                <c:pt idx="4">
                  <c:v>0.21213203435596423</c:v>
                </c:pt>
                <c:pt idx="5">
                  <c:v>0.24748737341529159</c:v>
                </c:pt>
                <c:pt idx="6">
                  <c:v>0.28284271247461895</c:v>
                </c:pt>
                <c:pt idx="7">
                  <c:v>0.31819805153394631</c:v>
                </c:pt>
                <c:pt idx="8">
                  <c:v>0.35355339059327368</c:v>
                </c:pt>
                <c:pt idx="9">
                  <c:v>0.38890872965260104</c:v>
                </c:pt>
                <c:pt idx="10">
                  <c:v>0.42426406871192845</c:v>
                </c:pt>
                <c:pt idx="11">
                  <c:v>0.45961940777125587</c:v>
                </c:pt>
                <c:pt idx="12">
                  <c:v>0.49497474683058329</c:v>
                </c:pt>
                <c:pt idx="13">
                  <c:v>0.53033008588991071</c:v>
                </c:pt>
                <c:pt idx="14">
                  <c:v>0.56568542494923812</c:v>
                </c:pt>
                <c:pt idx="15">
                  <c:v>0.60104076400856554</c:v>
                </c:pt>
                <c:pt idx="16">
                  <c:v>0.63639610306789285</c:v>
                </c:pt>
                <c:pt idx="17">
                  <c:v>0.67175144212722027</c:v>
                </c:pt>
                <c:pt idx="18">
                  <c:v>0.70710678118654768</c:v>
                </c:pt>
                <c:pt idx="19">
                  <c:v>0.74246212024587499</c:v>
                </c:pt>
                <c:pt idx="20">
                  <c:v>0.77781745930520241</c:v>
                </c:pt>
                <c:pt idx="21">
                  <c:v>0.81317279836452983</c:v>
                </c:pt>
                <c:pt idx="22">
                  <c:v>0.84852813742385724</c:v>
                </c:pt>
                <c:pt idx="23">
                  <c:v>0.88388347648318466</c:v>
                </c:pt>
                <c:pt idx="24">
                  <c:v>0.91923881554251208</c:v>
                </c:pt>
                <c:pt idx="25">
                  <c:v>0.9545941546018395</c:v>
                </c:pt>
                <c:pt idx="26">
                  <c:v>0.961665222413705</c:v>
                </c:pt>
                <c:pt idx="27">
                  <c:v>0.9687362902255704</c:v>
                </c:pt>
                <c:pt idx="28">
                  <c:v>0.9758073580374359</c:v>
                </c:pt>
                <c:pt idx="29">
                  <c:v>0.98287842584930141</c:v>
                </c:pt>
                <c:pt idx="30">
                  <c:v>0.98994949366116691</c:v>
                </c:pt>
                <c:pt idx="31">
                  <c:v>0.99702056147303231</c:v>
                </c:pt>
                <c:pt idx="32">
                  <c:v>1.0040916292848978</c:v>
                </c:pt>
                <c:pt idx="33">
                  <c:v>1.0076271631908305</c:v>
                </c:pt>
                <c:pt idx="34">
                  <c:v>1.0111626970967631</c:v>
                </c:pt>
                <c:pt idx="35">
                  <c:v>1.0146982310026957</c:v>
                </c:pt>
                <c:pt idx="36">
                  <c:v>1.0182337649086284</c:v>
                </c:pt>
                <c:pt idx="37">
                  <c:v>1.0217692988145612</c:v>
                </c:pt>
                <c:pt idx="38">
                  <c:v>1.0253048327204939</c:v>
                </c:pt>
                <c:pt idx="39">
                  <c:v>1.0323759005323594</c:v>
                </c:pt>
                <c:pt idx="40">
                  <c:v>1.0394469683442247</c:v>
                </c:pt>
                <c:pt idx="41">
                  <c:v>1.0465180361560902</c:v>
                </c:pt>
                <c:pt idx="42">
                  <c:v>1.0535891039679557</c:v>
                </c:pt>
                <c:pt idx="43">
                  <c:v>1.0606601717798212</c:v>
                </c:pt>
                <c:pt idx="44">
                  <c:v>1.0960155108391487</c:v>
                </c:pt>
                <c:pt idx="45">
                  <c:v>1.131370849898476</c:v>
                </c:pt>
                <c:pt idx="46">
                  <c:v>1.1667261889578033</c:v>
                </c:pt>
                <c:pt idx="47">
                  <c:v>1.2020815280171309</c:v>
                </c:pt>
                <c:pt idx="48">
                  <c:v>1.2374368670764582</c:v>
                </c:pt>
                <c:pt idx="49">
                  <c:v>1.2727922061357857</c:v>
                </c:pt>
                <c:pt idx="50">
                  <c:v>1.308147545195113</c:v>
                </c:pt>
                <c:pt idx="51">
                  <c:v>1.3435028842544405</c:v>
                </c:pt>
                <c:pt idx="52">
                  <c:v>1.3788582233137678</c:v>
                </c:pt>
                <c:pt idx="53">
                  <c:v>1.4142135623730954</c:v>
                </c:pt>
                <c:pt idx="54">
                  <c:v>1.4495689014324225</c:v>
                </c:pt>
                <c:pt idx="55">
                  <c:v>1.4849242404917498</c:v>
                </c:pt>
                <c:pt idx="56">
                  <c:v>1.5202795795510771</c:v>
                </c:pt>
                <c:pt idx="57">
                  <c:v>1.5556349186104041</c:v>
                </c:pt>
                <c:pt idx="58">
                  <c:v>1.5909902576697315</c:v>
                </c:pt>
                <c:pt idx="59">
                  <c:v>1.6263455967290588</c:v>
                </c:pt>
                <c:pt idx="60">
                  <c:v>1.6617009357883861</c:v>
                </c:pt>
                <c:pt idx="61">
                  <c:v>1.6970562748477132</c:v>
                </c:pt>
                <c:pt idx="62">
                  <c:v>1.7324116139070405</c:v>
                </c:pt>
                <c:pt idx="63">
                  <c:v>1.7677669529663678</c:v>
                </c:pt>
                <c:pt idx="64">
                  <c:v>1.8031222920256951</c:v>
                </c:pt>
                <c:pt idx="65">
                  <c:v>1.8384776310850222</c:v>
                </c:pt>
                <c:pt idx="66">
                  <c:v>1.8738329701443495</c:v>
                </c:pt>
                <c:pt idx="67">
                  <c:v>1.9091883092036768</c:v>
                </c:pt>
                <c:pt idx="68">
                  <c:v>1.9445436482630041</c:v>
                </c:pt>
                <c:pt idx="69">
                  <c:v>1.9798989873223312</c:v>
                </c:pt>
                <c:pt idx="70">
                  <c:v>2.0152543263816587</c:v>
                </c:pt>
                <c:pt idx="71">
                  <c:v>2.0506096654409856</c:v>
                </c:pt>
                <c:pt idx="72">
                  <c:v>2.0859650045003129</c:v>
                </c:pt>
                <c:pt idx="73">
                  <c:v>2.1213203435596402</c:v>
                </c:pt>
                <c:pt idx="74">
                  <c:v>2.1566756826189675</c:v>
                </c:pt>
                <c:pt idx="75">
                  <c:v>2.1920310216782948</c:v>
                </c:pt>
                <c:pt idx="76">
                  <c:v>2.2273863607376221</c:v>
                </c:pt>
                <c:pt idx="77">
                  <c:v>2.2627416997969494</c:v>
                </c:pt>
                <c:pt idx="78">
                  <c:v>2.2980970388562763</c:v>
                </c:pt>
                <c:pt idx="79">
                  <c:v>2.3334523779156036</c:v>
                </c:pt>
                <c:pt idx="80">
                  <c:v>2.3688077169749309</c:v>
                </c:pt>
                <c:pt idx="81">
                  <c:v>2.4041630560342582</c:v>
                </c:pt>
                <c:pt idx="82">
                  <c:v>2.4395183950935855</c:v>
                </c:pt>
                <c:pt idx="83">
                  <c:v>2.4748737341529128</c:v>
                </c:pt>
                <c:pt idx="84">
                  <c:v>2.5102290732122401</c:v>
                </c:pt>
                <c:pt idx="85">
                  <c:v>2.5455844122715674</c:v>
                </c:pt>
                <c:pt idx="86">
                  <c:v>2.5809397513308943</c:v>
                </c:pt>
                <c:pt idx="87">
                  <c:v>2.6162950903902216</c:v>
                </c:pt>
                <c:pt idx="88">
                  <c:v>2.6516504294495489</c:v>
                </c:pt>
                <c:pt idx="89">
                  <c:v>2.6870057685088762</c:v>
                </c:pt>
                <c:pt idx="90">
                  <c:v>2.7223611075682035</c:v>
                </c:pt>
                <c:pt idx="91">
                  <c:v>2.7577164466275308</c:v>
                </c:pt>
                <c:pt idx="92">
                  <c:v>2.7930717856868581</c:v>
                </c:pt>
                <c:pt idx="93">
                  <c:v>2.8284271247461854</c:v>
                </c:pt>
                <c:pt idx="94">
                  <c:v>2.89913780286484</c:v>
                </c:pt>
                <c:pt idx="95">
                  <c:v>2.9698484809834946</c:v>
                </c:pt>
                <c:pt idx="96">
                  <c:v>3.0405591591021488</c:v>
                </c:pt>
                <c:pt idx="97">
                  <c:v>3.1112698372208034</c:v>
                </c:pt>
                <c:pt idx="98">
                  <c:v>3.181980515339458</c:v>
                </c:pt>
                <c:pt idx="99">
                  <c:v>3.2526911934581126</c:v>
                </c:pt>
                <c:pt idx="100">
                  <c:v>3.3234018715767668</c:v>
                </c:pt>
                <c:pt idx="101">
                  <c:v>3.3941125496954214</c:v>
                </c:pt>
                <c:pt idx="102">
                  <c:v>3.464823227814076</c:v>
                </c:pt>
                <c:pt idx="103">
                  <c:v>3.5355339059327306</c:v>
                </c:pt>
                <c:pt idx="104">
                  <c:v>3.7123106012293672</c:v>
                </c:pt>
                <c:pt idx="105">
                  <c:v>3.8890872965260042</c:v>
                </c:pt>
                <c:pt idx="106">
                  <c:v>4.0658639918226411</c:v>
                </c:pt>
                <c:pt idx="107">
                  <c:v>4.2426406871192777</c:v>
                </c:pt>
                <c:pt idx="108">
                  <c:v>4.4194173824159151</c:v>
                </c:pt>
                <c:pt idx="109">
                  <c:v>4.5961940777125516</c:v>
                </c:pt>
                <c:pt idx="110">
                  <c:v>4.7729707730091882</c:v>
                </c:pt>
                <c:pt idx="111">
                  <c:v>4.9497474683058256</c:v>
                </c:pt>
                <c:pt idx="112">
                  <c:v>5.1265241636024621</c:v>
                </c:pt>
                <c:pt idx="113">
                  <c:v>5.3033008588990995</c:v>
                </c:pt>
                <c:pt idx="114">
                  <c:v>5.4800775541957361</c:v>
                </c:pt>
                <c:pt idx="115">
                  <c:v>5.6568542494923726</c:v>
                </c:pt>
                <c:pt idx="116">
                  <c:v>5.8336309447890091</c:v>
                </c:pt>
                <c:pt idx="117">
                  <c:v>6.0104076400856457</c:v>
                </c:pt>
                <c:pt idx="118">
                  <c:v>6.1871843353822831</c:v>
                </c:pt>
                <c:pt idx="119">
                  <c:v>6.3639610306789196</c:v>
                </c:pt>
                <c:pt idx="120">
                  <c:v>6.540737725975557</c:v>
                </c:pt>
                <c:pt idx="121">
                  <c:v>6.7175144212721936</c:v>
                </c:pt>
                <c:pt idx="122">
                  <c:v>6.8942911165688301</c:v>
                </c:pt>
                <c:pt idx="123">
                  <c:v>7.0710678118654675</c:v>
                </c:pt>
              </c:numCache>
            </c:numRef>
          </c:xVal>
          <c:yVal>
            <c:numRef>
              <c:f>'LCVR 667'!$J$3:$J$126</c:f>
              <c:numCache>
                <c:formatCode>General</c:formatCode>
                <c:ptCount val="124"/>
                <c:pt idx="0">
                  <c:v>1.6838113021437948</c:v>
                </c:pt>
                <c:pt idx="1">
                  <c:v>1.682508790481168</c:v>
                </c:pt>
                <c:pt idx="2">
                  <c:v>1.6850904500257682</c:v>
                </c:pt>
                <c:pt idx="3">
                  <c:v>1.6858367062371815</c:v>
                </c:pt>
                <c:pt idx="4">
                  <c:v>1.6851719186862029</c:v>
                </c:pt>
                <c:pt idx="5">
                  <c:v>1.6884228625097244</c:v>
                </c:pt>
                <c:pt idx="6">
                  <c:v>1.6903438274414184</c:v>
                </c:pt>
                <c:pt idx="7">
                  <c:v>1.6949036525359871</c:v>
                </c:pt>
                <c:pt idx="8">
                  <c:v>1.6991340930788708</c:v>
                </c:pt>
                <c:pt idx="9">
                  <c:v>1.6998825194577976</c:v>
                </c:pt>
                <c:pt idx="10">
                  <c:v>1.7050165681913736</c:v>
                </c:pt>
                <c:pt idx="11">
                  <c:v>1.7159183696204743</c:v>
                </c:pt>
                <c:pt idx="12">
                  <c:v>1.7319246814699945</c:v>
                </c:pt>
                <c:pt idx="13">
                  <c:v>1.7621536393567354</c:v>
                </c:pt>
                <c:pt idx="14">
                  <c:v>1.8101701617881838</c:v>
                </c:pt>
                <c:pt idx="15">
                  <c:v>1.8796416582649531</c:v>
                </c:pt>
                <c:pt idx="16">
                  <c:v>1.9642904207045073</c:v>
                </c:pt>
                <c:pt idx="17">
                  <c:v>2.0655293130853072</c:v>
                </c:pt>
                <c:pt idx="18">
                  <c:v>2.1695971943364958</c:v>
                </c:pt>
                <c:pt idx="19">
                  <c:v>2.2766812131015097</c:v>
                </c:pt>
                <c:pt idx="20">
                  <c:v>2.386862733449266</c:v>
                </c:pt>
                <c:pt idx="21">
                  <c:v>2.4994165364341203</c:v>
                </c:pt>
                <c:pt idx="22">
                  <c:v>2.6145841274099952</c:v>
                </c:pt>
                <c:pt idx="23">
                  <c:v>2.7280372170791862</c:v>
                </c:pt>
                <c:pt idx="24">
                  <c:v>2.8511404821063806</c:v>
                </c:pt>
                <c:pt idx="25">
                  <c:v>2.9493876528661209</c:v>
                </c:pt>
                <c:pt idx="26">
                  <c:v>2.9693156750175631</c:v>
                </c:pt>
                <c:pt idx="27">
                  <c:v>2.9869393990859026</c:v>
                </c:pt>
                <c:pt idx="28">
                  <c:v>3.0069416701003941</c:v>
                </c:pt>
                <c:pt idx="29">
                  <c:v>3.0142653032492275</c:v>
                </c:pt>
                <c:pt idx="30">
                  <c:v>3.0324295143584208</c:v>
                </c:pt>
                <c:pt idx="31">
                  <c:v>3.0384519794124203</c:v>
                </c:pt>
                <c:pt idx="32">
                  <c:v>3.0630746846065819</c:v>
                </c:pt>
                <c:pt idx="33">
                  <c:v>3.0553215097794233</c:v>
                </c:pt>
                <c:pt idx="34">
                  <c:v>3.0660854460273708</c:v>
                </c:pt>
                <c:pt idx="35">
                  <c:v>3.088175506523207</c:v>
                </c:pt>
                <c:pt idx="36">
                  <c:v>3.1415926535897931</c:v>
                </c:pt>
                <c:pt idx="37">
                  <c:v>3.1058136575636359</c:v>
                </c:pt>
                <c:pt idx="38">
                  <c:v>3.079615000927447</c:v>
                </c:pt>
                <c:pt idx="39">
                  <c:v>3.0457784874828229</c:v>
                </c:pt>
                <c:pt idx="40">
                  <c:v>3.0193144702196699</c:v>
                </c:pt>
                <c:pt idx="41">
                  <c:v>2.9925027172062579</c:v>
                </c:pt>
                <c:pt idx="42">
                  <c:v>2.976156769518755</c:v>
                </c:pt>
                <c:pt idx="43">
                  <c:v>2.9476171431696478</c:v>
                </c:pt>
                <c:pt idx="44">
                  <c:v>2.8318219994420852</c:v>
                </c:pt>
                <c:pt idx="45">
                  <c:v>2.7163595232947744</c:v>
                </c:pt>
                <c:pt idx="46">
                  <c:v>2.6114789842029582</c:v>
                </c:pt>
                <c:pt idx="47">
                  <c:v>2.5094782951814869</c:v>
                </c:pt>
                <c:pt idx="48">
                  <c:v>2.4104807926053473</c:v>
                </c:pt>
                <c:pt idx="49">
                  <c:v>2.3168419053860378</c:v>
                </c:pt>
                <c:pt idx="50">
                  <c:v>2.2276985148715114</c:v>
                </c:pt>
                <c:pt idx="51">
                  <c:v>2.145103604862332</c:v>
                </c:pt>
                <c:pt idx="52">
                  <c:v>2.0661088817757571</c:v>
                </c:pt>
                <c:pt idx="53">
                  <c:v>1.992214060649879</c:v>
                </c:pt>
                <c:pt idx="54">
                  <c:v>1.9215746436465506</c:v>
                </c:pt>
                <c:pt idx="55">
                  <c:v>1.8542751710555232</c:v>
                </c:pt>
                <c:pt idx="56">
                  <c:v>1.7911152213787447</c:v>
                </c:pt>
                <c:pt idx="57">
                  <c:v>1.7316483599741699</c:v>
                </c:pt>
                <c:pt idx="58">
                  <c:v>1.674467395075367</c:v>
                </c:pt>
                <c:pt idx="59">
                  <c:v>1.6206435383625066</c:v>
                </c:pt>
                <c:pt idx="60">
                  <c:v>1.5696473396529327</c:v>
                </c:pt>
                <c:pt idx="61">
                  <c:v>1.5219987218904476</c:v>
                </c:pt>
                <c:pt idx="62">
                  <c:v>1.4761120572262423</c:v>
                </c:pt>
                <c:pt idx="63">
                  <c:v>1.4333881434895328</c:v>
                </c:pt>
                <c:pt idx="64">
                  <c:v>1.392571763795134</c:v>
                </c:pt>
                <c:pt idx="65">
                  <c:v>1.353849315950447</c:v>
                </c:pt>
                <c:pt idx="66">
                  <c:v>1.3172322405221599</c:v>
                </c:pt>
                <c:pt idx="67">
                  <c:v>1.2822192324022101</c:v>
                </c:pt>
                <c:pt idx="68">
                  <c:v>1.248858105286768</c:v>
                </c:pt>
                <c:pt idx="69">
                  <c:v>1.2175041920699079</c:v>
                </c:pt>
                <c:pt idx="70">
                  <c:v>1.1872755224099325</c:v>
                </c:pt>
                <c:pt idx="71">
                  <c:v>1.1591131144131848</c:v>
                </c:pt>
                <c:pt idx="72">
                  <c:v>1.1323895899553826</c:v>
                </c:pt>
                <c:pt idx="73">
                  <c:v>1.1059885912731215</c:v>
                </c:pt>
                <c:pt idx="74">
                  <c:v>1.0814272277333221</c:v>
                </c:pt>
                <c:pt idx="75">
                  <c:v>1.0581185430552487</c:v>
                </c:pt>
                <c:pt idx="76">
                  <c:v>1.0356143078041264</c:v>
                </c:pt>
                <c:pt idx="77">
                  <c:v>1.0146872531950235</c:v>
                </c:pt>
                <c:pt idx="78">
                  <c:v>0.99424656631624952</c:v>
                </c:pt>
                <c:pt idx="79">
                  <c:v>0.97474746153829595</c:v>
                </c:pt>
                <c:pt idx="80">
                  <c:v>0.9564810474570814</c:v>
                </c:pt>
                <c:pt idx="81">
                  <c:v>0.93871324405042211</c:v>
                </c:pt>
                <c:pt idx="82">
                  <c:v>0.92138710593111461</c:v>
                </c:pt>
                <c:pt idx="83">
                  <c:v>0.90483754137197048</c:v>
                </c:pt>
                <c:pt idx="84">
                  <c:v>0.88941479291082137</c:v>
                </c:pt>
                <c:pt idx="85">
                  <c:v>0.87379667258266414</c:v>
                </c:pt>
                <c:pt idx="86">
                  <c:v>0.85923987680557767</c:v>
                </c:pt>
                <c:pt idx="87">
                  <c:v>0.84465770378244565</c:v>
                </c:pt>
                <c:pt idx="88">
                  <c:v>0.83117536493350697</c:v>
                </c:pt>
                <c:pt idx="89">
                  <c:v>0.81755889668335302</c:v>
                </c:pt>
                <c:pt idx="90">
                  <c:v>0.80488170670757675</c:v>
                </c:pt>
                <c:pt idx="91">
                  <c:v>0.79278161395763391</c:v>
                </c:pt>
                <c:pt idx="92">
                  <c:v>0.78063588519949978</c:v>
                </c:pt>
                <c:pt idx="93">
                  <c:v>0.7690552554643848</c:v>
                </c:pt>
                <c:pt idx="94">
                  <c:v>0.74671934801226825</c:v>
                </c:pt>
                <c:pt idx="95">
                  <c:v>0.72589920074444902</c:v>
                </c:pt>
                <c:pt idx="96">
                  <c:v>0.70677414228141422</c:v>
                </c:pt>
                <c:pt idx="97">
                  <c:v>0.68827312281297182</c:v>
                </c:pt>
                <c:pt idx="98">
                  <c:v>0.67081612211953423</c:v>
                </c:pt>
                <c:pt idx="99">
                  <c:v>0.65397213887872108</c:v>
                </c:pt>
                <c:pt idx="100">
                  <c:v>0.63818503944463922</c:v>
                </c:pt>
                <c:pt idx="101">
                  <c:v>0.62333626188437308</c:v>
                </c:pt>
                <c:pt idx="102">
                  <c:v>0.60910693449381637</c:v>
                </c:pt>
                <c:pt idx="103">
                  <c:v>0.59516260267308863</c:v>
                </c:pt>
                <c:pt idx="104">
                  <c:v>0.56437934037573045</c:v>
                </c:pt>
                <c:pt idx="105">
                  <c:v>0.53621303394944531</c:v>
                </c:pt>
                <c:pt idx="106">
                  <c:v>0.51080660415422074</c:v>
                </c:pt>
                <c:pt idx="107">
                  <c:v>0.48784781626603202</c:v>
                </c:pt>
                <c:pt idx="108">
                  <c:v>0.46632489834306634</c:v>
                </c:pt>
                <c:pt idx="109">
                  <c:v>0.44795820940195141</c:v>
                </c:pt>
                <c:pt idx="110">
                  <c:v>0.43014170789017614</c:v>
                </c:pt>
                <c:pt idx="111">
                  <c:v>0.41279485774327984</c:v>
                </c:pt>
                <c:pt idx="112">
                  <c:v>0.39790873255428183</c:v>
                </c:pt>
                <c:pt idx="113">
                  <c:v>0.38435626816614543</c:v>
                </c:pt>
                <c:pt idx="114">
                  <c:v>0.37105129306928619</c:v>
                </c:pt>
                <c:pt idx="115">
                  <c:v>0.35910044979843159</c:v>
                </c:pt>
                <c:pt idx="116">
                  <c:v>0.34800966482533746</c:v>
                </c:pt>
                <c:pt idx="117">
                  <c:v>0.33721430415579756</c:v>
                </c:pt>
                <c:pt idx="118">
                  <c:v>0.32707330169510929</c:v>
                </c:pt>
                <c:pt idx="119">
                  <c:v>0.31696207283946443</c:v>
                </c:pt>
                <c:pt idx="120">
                  <c:v>0.30864296979562145</c:v>
                </c:pt>
                <c:pt idx="121">
                  <c:v>0.29973986031431976</c:v>
                </c:pt>
                <c:pt idx="122">
                  <c:v>0.29019999733180857</c:v>
                </c:pt>
                <c:pt idx="123">
                  <c:v>0.28379410920832804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7A-4364-AD64-4A5B6E1FC281}"/>
            </c:ext>
          </c:extLst>
        </c:ser>
        <c:ser>
          <c:idx val="3"/>
          <c:order val="3"/>
          <c:tx>
            <c:strRef>
              <c:f>'LCVR 667'!$K$1</c:f>
              <c:strCache>
                <c:ptCount val="1"/>
                <c:pt idx="0">
                  <c:v>d with phase corr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'LCVR 667'!$G$3:$G$126</c:f>
              <c:numCache>
                <c:formatCode>General</c:formatCode>
                <c:ptCount val="124"/>
                <c:pt idx="0">
                  <c:v>7.0710678118654752E-2</c:v>
                </c:pt>
                <c:pt idx="1">
                  <c:v>0.10606601717798214</c:v>
                </c:pt>
                <c:pt idx="2">
                  <c:v>0.1414213562373095</c:v>
                </c:pt>
                <c:pt idx="3">
                  <c:v>0.17677669529663687</c:v>
                </c:pt>
                <c:pt idx="4">
                  <c:v>0.21213203435596423</c:v>
                </c:pt>
                <c:pt idx="5">
                  <c:v>0.24748737341529159</c:v>
                </c:pt>
                <c:pt idx="6">
                  <c:v>0.28284271247461895</c:v>
                </c:pt>
                <c:pt idx="7">
                  <c:v>0.31819805153394631</c:v>
                </c:pt>
                <c:pt idx="8">
                  <c:v>0.35355339059327368</c:v>
                </c:pt>
                <c:pt idx="9">
                  <c:v>0.38890872965260104</c:v>
                </c:pt>
                <c:pt idx="10">
                  <c:v>0.42426406871192845</c:v>
                </c:pt>
                <c:pt idx="11">
                  <c:v>0.45961940777125587</c:v>
                </c:pt>
                <c:pt idx="12">
                  <c:v>0.49497474683058329</c:v>
                </c:pt>
                <c:pt idx="13">
                  <c:v>0.53033008588991071</c:v>
                </c:pt>
                <c:pt idx="14">
                  <c:v>0.56568542494923812</c:v>
                </c:pt>
                <c:pt idx="15">
                  <c:v>0.60104076400856554</c:v>
                </c:pt>
                <c:pt idx="16">
                  <c:v>0.63639610306789285</c:v>
                </c:pt>
                <c:pt idx="17">
                  <c:v>0.67175144212722027</c:v>
                </c:pt>
                <c:pt idx="18">
                  <c:v>0.70710678118654768</c:v>
                </c:pt>
                <c:pt idx="19">
                  <c:v>0.74246212024587499</c:v>
                </c:pt>
                <c:pt idx="20">
                  <c:v>0.77781745930520241</c:v>
                </c:pt>
                <c:pt idx="21">
                  <c:v>0.81317279836452983</c:v>
                </c:pt>
                <c:pt idx="22">
                  <c:v>0.84852813742385724</c:v>
                </c:pt>
                <c:pt idx="23">
                  <c:v>0.88388347648318466</c:v>
                </c:pt>
                <c:pt idx="24">
                  <c:v>0.91923881554251208</c:v>
                </c:pt>
                <c:pt idx="25">
                  <c:v>0.9545941546018395</c:v>
                </c:pt>
                <c:pt idx="26">
                  <c:v>0.961665222413705</c:v>
                </c:pt>
                <c:pt idx="27">
                  <c:v>0.9687362902255704</c:v>
                </c:pt>
                <c:pt idx="28">
                  <c:v>0.9758073580374359</c:v>
                </c:pt>
                <c:pt idx="29">
                  <c:v>0.98287842584930141</c:v>
                </c:pt>
                <c:pt idx="30">
                  <c:v>0.98994949366116691</c:v>
                </c:pt>
                <c:pt idx="31">
                  <c:v>0.99702056147303231</c:v>
                </c:pt>
                <c:pt idx="32">
                  <c:v>1.0040916292848978</c:v>
                </c:pt>
                <c:pt idx="33">
                  <c:v>1.0076271631908305</c:v>
                </c:pt>
                <c:pt idx="34">
                  <c:v>1.0111626970967631</c:v>
                </c:pt>
                <c:pt idx="35">
                  <c:v>1.0146982310026957</c:v>
                </c:pt>
                <c:pt idx="36">
                  <c:v>1.0182337649086284</c:v>
                </c:pt>
                <c:pt idx="37">
                  <c:v>1.0217692988145612</c:v>
                </c:pt>
                <c:pt idx="38">
                  <c:v>1.0253048327204939</c:v>
                </c:pt>
                <c:pt idx="39">
                  <c:v>1.0323759005323594</c:v>
                </c:pt>
                <c:pt idx="40">
                  <c:v>1.0394469683442247</c:v>
                </c:pt>
                <c:pt idx="41">
                  <c:v>1.0465180361560902</c:v>
                </c:pt>
                <c:pt idx="42">
                  <c:v>1.0535891039679557</c:v>
                </c:pt>
                <c:pt idx="43">
                  <c:v>1.0606601717798212</c:v>
                </c:pt>
                <c:pt idx="44">
                  <c:v>1.0960155108391487</c:v>
                </c:pt>
                <c:pt idx="45">
                  <c:v>1.131370849898476</c:v>
                </c:pt>
                <c:pt idx="46">
                  <c:v>1.1667261889578033</c:v>
                </c:pt>
                <c:pt idx="47">
                  <c:v>1.2020815280171309</c:v>
                </c:pt>
                <c:pt idx="48">
                  <c:v>1.2374368670764582</c:v>
                </c:pt>
                <c:pt idx="49">
                  <c:v>1.2727922061357857</c:v>
                </c:pt>
                <c:pt idx="50">
                  <c:v>1.308147545195113</c:v>
                </c:pt>
                <c:pt idx="51">
                  <c:v>1.3435028842544405</c:v>
                </c:pt>
                <c:pt idx="52">
                  <c:v>1.3788582233137678</c:v>
                </c:pt>
                <c:pt idx="53">
                  <c:v>1.4142135623730954</c:v>
                </c:pt>
                <c:pt idx="54">
                  <c:v>1.4495689014324225</c:v>
                </c:pt>
                <c:pt idx="55">
                  <c:v>1.4849242404917498</c:v>
                </c:pt>
                <c:pt idx="56">
                  <c:v>1.5202795795510771</c:v>
                </c:pt>
                <c:pt idx="57">
                  <c:v>1.5556349186104041</c:v>
                </c:pt>
                <c:pt idx="58">
                  <c:v>1.5909902576697315</c:v>
                </c:pt>
                <c:pt idx="59">
                  <c:v>1.6263455967290588</c:v>
                </c:pt>
                <c:pt idx="60">
                  <c:v>1.6617009357883861</c:v>
                </c:pt>
                <c:pt idx="61">
                  <c:v>1.6970562748477132</c:v>
                </c:pt>
                <c:pt idx="62">
                  <c:v>1.7324116139070405</c:v>
                </c:pt>
                <c:pt idx="63">
                  <c:v>1.7677669529663678</c:v>
                </c:pt>
                <c:pt idx="64">
                  <c:v>1.8031222920256951</c:v>
                </c:pt>
                <c:pt idx="65">
                  <c:v>1.8384776310850222</c:v>
                </c:pt>
                <c:pt idx="66">
                  <c:v>1.8738329701443495</c:v>
                </c:pt>
                <c:pt idx="67">
                  <c:v>1.9091883092036768</c:v>
                </c:pt>
                <c:pt idx="68">
                  <c:v>1.9445436482630041</c:v>
                </c:pt>
                <c:pt idx="69">
                  <c:v>1.9798989873223312</c:v>
                </c:pt>
                <c:pt idx="70">
                  <c:v>2.0152543263816587</c:v>
                </c:pt>
                <c:pt idx="71">
                  <c:v>2.0506096654409856</c:v>
                </c:pt>
                <c:pt idx="72">
                  <c:v>2.0859650045003129</c:v>
                </c:pt>
                <c:pt idx="73">
                  <c:v>2.1213203435596402</c:v>
                </c:pt>
                <c:pt idx="74">
                  <c:v>2.1566756826189675</c:v>
                </c:pt>
                <c:pt idx="75">
                  <c:v>2.1920310216782948</c:v>
                </c:pt>
                <c:pt idx="76">
                  <c:v>2.2273863607376221</c:v>
                </c:pt>
                <c:pt idx="77">
                  <c:v>2.2627416997969494</c:v>
                </c:pt>
                <c:pt idx="78">
                  <c:v>2.2980970388562763</c:v>
                </c:pt>
                <c:pt idx="79">
                  <c:v>2.3334523779156036</c:v>
                </c:pt>
                <c:pt idx="80">
                  <c:v>2.3688077169749309</c:v>
                </c:pt>
                <c:pt idx="81">
                  <c:v>2.4041630560342582</c:v>
                </c:pt>
                <c:pt idx="82">
                  <c:v>2.4395183950935855</c:v>
                </c:pt>
                <c:pt idx="83">
                  <c:v>2.4748737341529128</c:v>
                </c:pt>
                <c:pt idx="84">
                  <c:v>2.5102290732122401</c:v>
                </c:pt>
                <c:pt idx="85">
                  <c:v>2.5455844122715674</c:v>
                </c:pt>
                <c:pt idx="86">
                  <c:v>2.5809397513308943</c:v>
                </c:pt>
                <c:pt idx="87">
                  <c:v>2.6162950903902216</c:v>
                </c:pt>
                <c:pt idx="88">
                  <c:v>2.6516504294495489</c:v>
                </c:pt>
                <c:pt idx="89">
                  <c:v>2.6870057685088762</c:v>
                </c:pt>
                <c:pt idx="90">
                  <c:v>2.7223611075682035</c:v>
                </c:pt>
                <c:pt idx="91">
                  <c:v>2.7577164466275308</c:v>
                </c:pt>
                <c:pt idx="92">
                  <c:v>2.7930717856868581</c:v>
                </c:pt>
                <c:pt idx="93">
                  <c:v>2.8284271247461854</c:v>
                </c:pt>
                <c:pt idx="94">
                  <c:v>2.89913780286484</c:v>
                </c:pt>
                <c:pt idx="95">
                  <c:v>2.9698484809834946</c:v>
                </c:pt>
                <c:pt idx="96">
                  <c:v>3.0405591591021488</c:v>
                </c:pt>
                <c:pt idx="97">
                  <c:v>3.1112698372208034</c:v>
                </c:pt>
                <c:pt idx="98">
                  <c:v>3.181980515339458</c:v>
                </c:pt>
                <c:pt idx="99">
                  <c:v>3.2526911934581126</c:v>
                </c:pt>
                <c:pt idx="100">
                  <c:v>3.3234018715767668</c:v>
                </c:pt>
                <c:pt idx="101">
                  <c:v>3.3941125496954214</c:v>
                </c:pt>
                <c:pt idx="102">
                  <c:v>3.464823227814076</c:v>
                </c:pt>
                <c:pt idx="103">
                  <c:v>3.5355339059327306</c:v>
                </c:pt>
                <c:pt idx="104">
                  <c:v>3.7123106012293672</c:v>
                </c:pt>
                <c:pt idx="105">
                  <c:v>3.8890872965260042</c:v>
                </c:pt>
                <c:pt idx="106">
                  <c:v>4.0658639918226411</c:v>
                </c:pt>
                <c:pt idx="107">
                  <c:v>4.2426406871192777</c:v>
                </c:pt>
                <c:pt idx="108">
                  <c:v>4.4194173824159151</c:v>
                </c:pt>
                <c:pt idx="109">
                  <c:v>4.5961940777125516</c:v>
                </c:pt>
                <c:pt idx="110">
                  <c:v>4.7729707730091882</c:v>
                </c:pt>
                <c:pt idx="111">
                  <c:v>4.9497474683058256</c:v>
                </c:pt>
                <c:pt idx="112">
                  <c:v>5.1265241636024621</c:v>
                </c:pt>
                <c:pt idx="113">
                  <c:v>5.3033008588990995</c:v>
                </c:pt>
                <c:pt idx="114">
                  <c:v>5.4800775541957361</c:v>
                </c:pt>
                <c:pt idx="115">
                  <c:v>5.6568542494923726</c:v>
                </c:pt>
                <c:pt idx="116">
                  <c:v>5.8336309447890091</c:v>
                </c:pt>
                <c:pt idx="117">
                  <c:v>6.0104076400856457</c:v>
                </c:pt>
                <c:pt idx="118">
                  <c:v>6.1871843353822831</c:v>
                </c:pt>
                <c:pt idx="119">
                  <c:v>6.3639610306789196</c:v>
                </c:pt>
                <c:pt idx="120">
                  <c:v>6.540737725975557</c:v>
                </c:pt>
                <c:pt idx="121">
                  <c:v>6.7175144212721936</c:v>
                </c:pt>
                <c:pt idx="122">
                  <c:v>6.8942911165688301</c:v>
                </c:pt>
                <c:pt idx="123">
                  <c:v>7.0710678118654675</c:v>
                </c:pt>
              </c:numCache>
            </c:numRef>
          </c:xVal>
          <c:yVal>
            <c:numRef>
              <c:f>'LCVR 667'!$K$3:$K$126</c:f>
              <c:numCache>
                <c:formatCode>General</c:formatCode>
                <c:ptCount val="124"/>
                <c:pt idx="0">
                  <c:v>4.5993740050357914</c:v>
                </c:pt>
                <c:pt idx="1">
                  <c:v>4.6006765166984183</c:v>
                </c:pt>
                <c:pt idx="2">
                  <c:v>4.5980948571538178</c:v>
                </c:pt>
                <c:pt idx="3">
                  <c:v>4.5973486009424045</c:v>
                </c:pt>
                <c:pt idx="4">
                  <c:v>4.5980133884933831</c:v>
                </c:pt>
                <c:pt idx="5">
                  <c:v>4.5947624446698621</c:v>
                </c:pt>
                <c:pt idx="6">
                  <c:v>4.5928414797381674</c:v>
                </c:pt>
                <c:pt idx="7">
                  <c:v>4.5882816546435992</c:v>
                </c:pt>
                <c:pt idx="8">
                  <c:v>4.5840512141007155</c:v>
                </c:pt>
                <c:pt idx="9">
                  <c:v>4.5833027877217889</c:v>
                </c:pt>
                <c:pt idx="10">
                  <c:v>4.5781687389882126</c:v>
                </c:pt>
                <c:pt idx="11">
                  <c:v>4.5672669375591122</c:v>
                </c:pt>
                <c:pt idx="12">
                  <c:v>4.5512606257095918</c:v>
                </c:pt>
                <c:pt idx="13">
                  <c:v>4.521031667822851</c:v>
                </c:pt>
                <c:pt idx="14">
                  <c:v>4.4730151453914022</c:v>
                </c:pt>
                <c:pt idx="15">
                  <c:v>4.4035436489146331</c:v>
                </c:pt>
                <c:pt idx="16">
                  <c:v>4.3188948864750785</c:v>
                </c:pt>
                <c:pt idx="17">
                  <c:v>4.2176559940942795</c:v>
                </c:pt>
                <c:pt idx="18">
                  <c:v>4.1135881128430904</c:v>
                </c:pt>
                <c:pt idx="19">
                  <c:v>4.0065040940780765</c:v>
                </c:pt>
                <c:pt idx="20">
                  <c:v>3.8963225737303202</c:v>
                </c:pt>
                <c:pt idx="21">
                  <c:v>3.7837687707454659</c:v>
                </c:pt>
                <c:pt idx="22">
                  <c:v>3.668601179769591</c:v>
                </c:pt>
                <c:pt idx="23">
                  <c:v>3.5551480901004</c:v>
                </c:pt>
                <c:pt idx="24">
                  <c:v>3.4320448250732056</c:v>
                </c:pt>
                <c:pt idx="25">
                  <c:v>3.3337976543134653</c:v>
                </c:pt>
                <c:pt idx="26">
                  <c:v>3.3138696321620231</c:v>
                </c:pt>
                <c:pt idx="27">
                  <c:v>3.2962459080936837</c:v>
                </c:pt>
                <c:pt idx="28">
                  <c:v>3.2762436370791921</c:v>
                </c:pt>
                <c:pt idx="29">
                  <c:v>3.2689200039303588</c:v>
                </c:pt>
                <c:pt idx="30">
                  <c:v>3.2507557928211654</c:v>
                </c:pt>
                <c:pt idx="31">
                  <c:v>3.2447333277671659</c:v>
                </c:pt>
                <c:pt idx="32">
                  <c:v>3.2201106225730043</c:v>
                </c:pt>
                <c:pt idx="33">
                  <c:v>3.2278637974001629</c:v>
                </c:pt>
                <c:pt idx="34">
                  <c:v>3.2170998611522155</c:v>
                </c:pt>
                <c:pt idx="35">
                  <c:v>3.1950098006563792</c:v>
                </c:pt>
                <c:pt idx="36">
                  <c:v>3.1415926535897931</c:v>
                </c:pt>
                <c:pt idx="37">
                  <c:v>3.1058136575636359</c:v>
                </c:pt>
                <c:pt idx="38">
                  <c:v>3.079615000927447</c:v>
                </c:pt>
                <c:pt idx="39">
                  <c:v>3.0457784874828229</c:v>
                </c:pt>
                <c:pt idx="40">
                  <c:v>3.0193144702196699</c:v>
                </c:pt>
                <c:pt idx="41">
                  <c:v>2.9925027172062579</c:v>
                </c:pt>
                <c:pt idx="42">
                  <c:v>2.976156769518755</c:v>
                </c:pt>
                <c:pt idx="43">
                  <c:v>2.9476171431696478</c:v>
                </c:pt>
                <c:pt idx="44">
                  <c:v>2.8318219994420852</c:v>
                </c:pt>
                <c:pt idx="45">
                  <c:v>2.7163595232947744</c:v>
                </c:pt>
                <c:pt idx="46">
                  <c:v>2.6114789842029582</c:v>
                </c:pt>
                <c:pt idx="47">
                  <c:v>2.5094782951814869</c:v>
                </c:pt>
                <c:pt idx="48">
                  <c:v>2.4104807926053473</c:v>
                </c:pt>
                <c:pt idx="49">
                  <c:v>2.3168419053860378</c:v>
                </c:pt>
                <c:pt idx="50">
                  <c:v>2.2276985148715114</c:v>
                </c:pt>
                <c:pt idx="51">
                  <c:v>2.145103604862332</c:v>
                </c:pt>
                <c:pt idx="52">
                  <c:v>2.0661088817757571</c:v>
                </c:pt>
                <c:pt idx="53">
                  <c:v>1.992214060649879</c:v>
                </c:pt>
                <c:pt idx="54">
                  <c:v>1.9215746436465506</c:v>
                </c:pt>
                <c:pt idx="55">
                  <c:v>1.8542751710555232</c:v>
                </c:pt>
                <c:pt idx="56">
                  <c:v>1.7911152213787447</c:v>
                </c:pt>
                <c:pt idx="57">
                  <c:v>1.7316483599741699</c:v>
                </c:pt>
                <c:pt idx="58">
                  <c:v>1.674467395075367</c:v>
                </c:pt>
                <c:pt idx="59">
                  <c:v>1.6206435383625066</c:v>
                </c:pt>
                <c:pt idx="60">
                  <c:v>1.5696473396529327</c:v>
                </c:pt>
                <c:pt idx="61">
                  <c:v>1.5219987218904476</c:v>
                </c:pt>
                <c:pt idx="62">
                  <c:v>1.4761120572262423</c:v>
                </c:pt>
                <c:pt idx="63">
                  <c:v>1.4333881434895328</c:v>
                </c:pt>
                <c:pt idx="64">
                  <c:v>1.392571763795134</c:v>
                </c:pt>
                <c:pt idx="65">
                  <c:v>1.353849315950447</c:v>
                </c:pt>
                <c:pt idx="66">
                  <c:v>1.3172322405221599</c:v>
                </c:pt>
                <c:pt idx="67">
                  <c:v>1.2822192324022101</c:v>
                </c:pt>
                <c:pt idx="68">
                  <c:v>1.248858105286768</c:v>
                </c:pt>
                <c:pt idx="69">
                  <c:v>1.2175041920699079</c:v>
                </c:pt>
                <c:pt idx="70">
                  <c:v>1.1872755224099325</c:v>
                </c:pt>
                <c:pt idx="71">
                  <c:v>1.1591131144131848</c:v>
                </c:pt>
                <c:pt idx="72">
                  <c:v>1.1323895899553826</c:v>
                </c:pt>
                <c:pt idx="73">
                  <c:v>1.1059885912731215</c:v>
                </c:pt>
                <c:pt idx="74">
                  <c:v>1.0814272277333221</c:v>
                </c:pt>
                <c:pt idx="75">
                  <c:v>1.0581185430552487</c:v>
                </c:pt>
                <c:pt idx="76">
                  <c:v>1.0356143078041264</c:v>
                </c:pt>
                <c:pt idx="77">
                  <c:v>1.0146872531950235</c:v>
                </c:pt>
                <c:pt idx="78">
                  <c:v>0.99424656631624952</c:v>
                </c:pt>
                <c:pt idx="79">
                  <c:v>0.97474746153829595</c:v>
                </c:pt>
                <c:pt idx="80">
                  <c:v>0.9564810474570814</c:v>
                </c:pt>
                <c:pt idx="81">
                  <c:v>0.93871324405042211</c:v>
                </c:pt>
                <c:pt idx="82">
                  <c:v>0.92138710593111461</c:v>
                </c:pt>
                <c:pt idx="83">
                  <c:v>0.90483754137197048</c:v>
                </c:pt>
                <c:pt idx="84">
                  <c:v>0.88941479291082137</c:v>
                </c:pt>
                <c:pt idx="85">
                  <c:v>0.87379667258266414</c:v>
                </c:pt>
                <c:pt idx="86">
                  <c:v>0.85923987680557767</c:v>
                </c:pt>
                <c:pt idx="87">
                  <c:v>0.84465770378244565</c:v>
                </c:pt>
                <c:pt idx="88">
                  <c:v>0.83117536493350697</c:v>
                </c:pt>
                <c:pt idx="89">
                  <c:v>0.81755889668335302</c:v>
                </c:pt>
                <c:pt idx="90">
                  <c:v>0.80488170670757675</c:v>
                </c:pt>
                <c:pt idx="91">
                  <c:v>0.79278161395763391</c:v>
                </c:pt>
                <c:pt idx="92">
                  <c:v>0.78063588519949978</c:v>
                </c:pt>
                <c:pt idx="93">
                  <c:v>0.7690552554643848</c:v>
                </c:pt>
                <c:pt idx="94">
                  <c:v>0.74671934801226825</c:v>
                </c:pt>
                <c:pt idx="95">
                  <c:v>0.72589920074444902</c:v>
                </c:pt>
                <c:pt idx="96">
                  <c:v>0.70677414228141422</c:v>
                </c:pt>
                <c:pt idx="97">
                  <c:v>0.68827312281297182</c:v>
                </c:pt>
                <c:pt idx="98">
                  <c:v>0.67081612211953423</c:v>
                </c:pt>
                <c:pt idx="99">
                  <c:v>0.65397213887872108</c:v>
                </c:pt>
                <c:pt idx="100">
                  <c:v>0.63818503944463922</c:v>
                </c:pt>
                <c:pt idx="101">
                  <c:v>0.62333626188437308</c:v>
                </c:pt>
                <c:pt idx="102">
                  <c:v>0.60910693449381637</c:v>
                </c:pt>
                <c:pt idx="103">
                  <c:v>0.59516260267308863</c:v>
                </c:pt>
                <c:pt idx="104">
                  <c:v>0.56437934037573045</c:v>
                </c:pt>
                <c:pt idx="105">
                  <c:v>0.53621303394944531</c:v>
                </c:pt>
                <c:pt idx="106">
                  <c:v>0.51080660415422074</c:v>
                </c:pt>
                <c:pt idx="107">
                  <c:v>0.48784781626603202</c:v>
                </c:pt>
                <c:pt idx="108">
                  <c:v>0.46632489834306634</c:v>
                </c:pt>
                <c:pt idx="109">
                  <c:v>0.44795820940195141</c:v>
                </c:pt>
                <c:pt idx="110">
                  <c:v>0.43014170789017614</c:v>
                </c:pt>
                <c:pt idx="111">
                  <c:v>0.41279485774327984</c:v>
                </c:pt>
                <c:pt idx="112">
                  <c:v>0.39790873255428183</c:v>
                </c:pt>
                <c:pt idx="113">
                  <c:v>0.38435626816614543</c:v>
                </c:pt>
                <c:pt idx="114">
                  <c:v>0.37105129306928619</c:v>
                </c:pt>
                <c:pt idx="115">
                  <c:v>0.35910044979843159</c:v>
                </c:pt>
                <c:pt idx="116">
                  <c:v>0.34800966482533746</c:v>
                </c:pt>
                <c:pt idx="117">
                  <c:v>0.33721430415579756</c:v>
                </c:pt>
                <c:pt idx="118">
                  <c:v>0.32707330169510929</c:v>
                </c:pt>
                <c:pt idx="119">
                  <c:v>0.31696207283946443</c:v>
                </c:pt>
                <c:pt idx="120">
                  <c:v>0.30864296979562145</c:v>
                </c:pt>
                <c:pt idx="121">
                  <c:v>0.29973986031431976</c:v>
                </c:pt>
                <c:pt idx="122">
                  <c:v>0.29019999733180857</c:v>
                </c:pt>
                <c:pt idx="123">
                  <c:v>0.28379410920832804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7A-4364-AD64-4A5B6E1F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195288"/>
        <c:axId val="534194112"/>
      </c:scatterChart>
      <c:valAx>
        <c:axId val="53419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94112"/>
        <c:crosses val="autoZero"/>
        <c:crossBetween val="midCat"/>
      </c:valAx>
      <c:valAx>
        <c:axId val="53419411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95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667'!$P$1</c:f>
              <c:strCache>
                <c:ptCount val="1"/>
                <c:pt idx="0">
                  <c:v>retardance (waves)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667'!$O$2:$O$126</c:f>
              <c:numCache>
                <c:formatCode>General</c:formatCode>
                <c:ptCount val="125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0.961665222413705</c:v>
                </c:pt>
                <c:pt idx="28">
                  <c:v>0.9687362902255704</c:v>
                </c:pt>
                <c:pt idx="29">
                  <c:v>0.9758073580374359</c:v>
                </c:pt>
                <c:pt idx="30">
                  <c:v>0.98287842584930141</c:v>
                </c:pt>
                <c:pt idx="31">
                  <c:v>0.98994949366116691</c:v>
                </c:pt>
                <c:pt idx="32">
                  <c:v>0.99702056147303231</c:v>
                </c:pt>
                <c:pt idx="33">
                  <c:v>1.0040916292848978</c:v>
                </c:pt>
                <c:pt idx="34">
                  <c:v>1.0076271631908305</c:v>
                </c:pt>
                <c:pt idx="35">
                  <c:v>1.0111626970967631</c:v>
                </c:pt>
                <c:pt idx="36">
                  <c:v>1.0146982310026957</c:v>
                </c:pt>
                <c:pt idx="37">
                  <c:v>1.0182337649086284</c:v>
                </c:pt>
                <c:pt idx="38">
                  <c:v>1.0217692988145612</c:v>
                </c:pt>
                <c:pt idx="39">
                  <c:v>1.0253048327204939</c:v>
                </c:pt>
                <c:pt idx="40">
                  <c:v>1.0323759005323594</c:v>
                </c:pt>
                <c:pt idx="41">
                  <c:v>1.0394469683442247</c:v>
                </c:pt>
                <c:pt idx="42">
                  <c:v>1.0465180361560902</c:v>
                </c:pt>
                <c:pt idx="43">
                  <c:v>1.0535891039679557</c:v>
                </c:pt>
                <c:pt idx="44">
                  <c:v>1.0606601717798212</c:v>
                </c:pt>
                <c:pt idx="45">
                  <c:v>1.0960155108391487</c:v>
                </c:pt>
                <c:pt idx="46">
                  <c:v>1.131370849898476</c:v>
                </c:pt>
                <c:pt idx="47">
                  <c:v>1.1667261889578033</c:v>
                </c:pt>
                <c:pt idx="48">
                  <c:v>1.2020815280171309</c:v>
                </c:pt>
                <c:pt idx="49">
                  <c:v>1.2374368670764582</c:v>
                </c:pt>
                <c:pt idx="50">
                  <c:v>1.2727922061357857</c:v>
                </c:pt>
                <c:pt idx="51">
                  <c:v>1.308147545195113</c:v>
                </c:pt>
                <c:pt idx="52">
                  <c:v>1.3435028842544405</c:v>
                </c:pt>
                <c:pt idx="53">
                  <c:v>1.3788582233137678</c:v>
                </c:pt>
                <c:pt idx="54">
                  <c:v>1.4142135623730954</c:v>
                </c:pt>
                <c:pt idx="55">
                  <c:v>1.4495689014324225</c:v>
                </c:pt>
                <c:pt idx="56">
                  <c:v>1.4849242404917498</c:v>
                </c:pt>
                <c:pt idx="57">
                  <c:v>1.5202795795510771</c:v>
                </c:pt>
                <c:pt idx="58">
                  <c:v>1.5556349186104041</c:v>
                </c:pt>
                <c:pt idx="59">
                  <c:v>1.5909902576697315</c:v>
                </c:pt>
                <c:pt idx="60">
                  <c:v>1.6263455967290588</c:v>
                </c:pt>
                <c:pt idx="61">
                  <c:v>1.6617009357883861</c:v>
                </c:pt>
                <c:pt idx="62">
                  <c:v>1.6970562748477132</c:v>
                </c:pt>
                <c:pt idx="63">
                  <c:v>1.7324116139070405</c:v>
                </c:pt>
                <c:pt idx="64">
                  <c:v>1.7677669529663678</c:v>
                </c:pt>
                <c:pt idx="65">
                  <c:v>1.8031222920256951</c:v>
                </c:pt>
                <c:pt idx="66">
                  <c:v>1.8384776310850222</c:v>
                </c:pt>
                <c:pt idx="67">
                  <c:v>1.8738329701443495</c:v>
                </c:pt>
                <c:pt idx="68">
                  <c:v>1.9091883092036768</c:v>
                </c:pt>
                <c:pt idx="69">
                  <c:v>1.9445436482630041</c:v>
                </c:pt>
                <c:pt idx="70">
                  <c:v>1.9798989873223312</c:v>
                </c:pt>
                <c:pt idx="71">
                  <c:v>2.0152543263816587</c:v>
                </c:pt>
                <c:pt idx="72">
                  <c:v>2.0506096654409856</c:v>
                </c:pt>
                <c:pt idx="73">
                  <c:v>2.0859650045003129</c:v>
                </c:pt>
                <c:pt idx="74">
                  <c:v>2.1213203435596402</c:v>
                </c:pt>
                <c:pt idx="75">
                  <c:v>2.1566756826189675</c:v>
                </c:pt>
                <c:pt idx="76">
                  <c:v>2.1920310216782948</c:v>
                </c:pt>
                <c:pt idx="77">
                  <c:v>2.2273863607376221</c:v>
                </c:pt>
                <c:pt idx="78">
                  <c:v>2.2627416997969494</c:v>
                </c:pt>
                <c:pt idx="79">
                  <c:v>2.2980970388562763</c:v>
                </c:pt>
                <c:pt idx="80">
                  <c:v>2.3334523779156036</c:v>
                </c:pt>
                <c:pt idx="81">
                  <c:v>2.3688077169749309</c:v>
                </c:pt>
                <c:pt idx="82">
                  <c:v>2.4041630560342582</c:v>
                </c:pt>
                <c:pt idx="83">
                  <c:v>2.4395183950935855</c:v>
                </c:pt>
                <c:pt idx="84">
                  <c:v>2.4748737341529128</c:v>
                </c:pt>
                <c:pt idx="85">
                  <c:v>2.5102290732122401</c:v>
                </c:pt>
                <c:pt idx="86">
                  <c:v>2.5455844122715674</c:v>
                </c:pt>
                <c:pt idx="87">
                  <c:v>2.5809397513308943</c:v>
                </c:pt>
                <c:pt idx="88">
                  <c:v>2.6162950903902216</c:v>
                </c:pt>
                <c:pt idx="89">
                  <c:v>2.6516504294495489</c:v>
                </c:pt>
                <c:pt idx="90">
                  <c:v>2.6870057685088762</c:v>
                </c:pt>
                <c:pt idx="91">
                  <c:v>2.7223611075682035</c:v>
                </c:pt>
                <c:pt idx="92">
                  <c:v>2.7577164466275308</c:v>
                </c:pt>
                <c:pt idx="93">
                  <c:v>2.7930717856868581</c:v>
                </c:pt>
                <c:pt idx="94">
                  <c:v>2.8284271247461854</c:v>
                </c:pt>
                <c:pt idx="95">
                  <c:v>2.89913780286484</c:v>
                </c:pt>
                <c:pt idx="96">
                  <c:v>2.9698484809834946</c:v>
                </c:pt>
                <c:pt idx="97">
                  <c:v>3.0405591591021488</c:v>
                </c:pt>
                <c:pt idx="98">
                  <c:v>3.1112698372208034</c:v>
                </c:pt>
                <c:pt idx="99">
                  <c:v>3.181980515339458</c:v>
                </c:pt>
                <c:pt idx="100">
                  <c:v>3.2526911934581126</c:v>
                </c:pt>
                <c:pt idx="101">
                  <c:v>3.3234018715767668</c:v>
                </c:pt>
                <c:pt idx="102">
                  <c:v>3.3941125496954214</c:v>
                </c:pt>
                <c:pt idx="103">
                  <c:v>3.464823227814076</c:v>
                </c:pt>
                <c:pt idx="104">
                  <c:v>3.5355339059327306</c:v>
                </c:pt>
                <c:pt idx="105">
                  <c:v>3.7123106012293672</c:v>
                </c:pt>
                <c:pt idx="106">
                  <c:v>3.8890872965260042</c:v>
                </c:pt>
                <c:pt idx="107">
                  <c:v>4.0658639918226411</c:v>
                </c:pt>
                <c:pt idx="108">
                  <c:v>4.2426406871192777</c:v>
                </c:pt>
                <c:pt idx="109">
                  <c:v>4.4194173824159151</c:v>
                </c:pt>
                <c:pt idx="110">
                  <c:v>4.5961940777125516</c:v>
                </c:pt>
                <c:pt idx="111">
                  <c:v>4.7729707730091882</c:v>
                </c:pt>
                <c:pt idx="112">
                  <c:v>4.9497474683058256</c:v>
                </c:pt>
                <c:pt idx="113">
                  <c:v>5.1265241636024621</c:v>
                </c:pt>
                <c:pt idx="114">
                  <c:v>5.3033008588990995</c:v>
                </c:pt>
                <c:pt idx="115">
                  <c:v>5.4800775541957361</c:v>
                </c:pt>
                <c:pt idx="116">
                  <c:v>5.6568542494923726</c:v>
                </c:pt>
                <c:pt idx="117">
                  <c:v>5.8336309447890091</c:v>
                </c:pt>
                <c:pt idx="118">
                  <c:v>6.0104076400856457</c:v>
                </c:pt>
                <c:pt idx="119">
                  <c:v>6.1871843353822831</c:v>
                </c:pt>
                <c:pt idx="120">
                  <c:v>6.3639610306789196</c:v>
                </c:pt>
                <c:pt idx="121">
                  <c:v>6.540737725975557</c:v>
                </c:pt>
                <c:pt idx="122">
                  <c:v>6.7175144212721936</c:v>
                </c:pt>
                <c:pt idx="123">
                  <c:v>6.8942911165688301</c:v>
                </c:pt>
                <c:pt idx="124">
                  <c:v>7.0710678118654675</c:v>
                </c:pt>
              </c:numCache>
            </c:numRef>
          </c:xVal>
          <c:yVal>
            <c:numRef>
              <c:f>'LCVR 667'!$P$2:$P$126</c:f>
              <c:numCache>
                <c:formatCode>General</c:formatCode>
                <c:ptCount val="125"/>
                <c:pt idx="0">
                  <c:v>0.73175862498628319</c:v>
                </c:pt>
                <c:pt idx="1">
                  <c:v>0.73201310802981412</c:v>
                </c:pt>
                <c:pt idx="2">
                  <c:v>0.73222040919935605</c:v>
                </c:pt>
                <c:pt idx="3">
                  <c:v>0.73180952532145249</c:v>
                </c:pt>
                <c:pt idx="4">
                  <c:v>0.73169075495659308</c:v>
                </c:pt>
                <c:pt idx="5">
                  <c:v>0.73179655918143727</c:v>
                </c:pt>
                <c:pt idx="6">
                  <c:v>0.73127915540220978</c:v>
                </c:pt>
                <c:pt idx="7">
                  <c:v>0.73097342433782442</c:v>
                </c:pt>
                <c:pt idx="8">
                  <c:v>0.73024770563438945</c:v>
                </c:pt>
                <c:pt idx="9">
                  <c:v>0.72957441011053314</c:v>
                </c:pt>
                <c:pt idx="10">
                  <c:v>0.72945529435278655</c:v>
                </c:pt>
                <c:pt idx="11">
                  <c:v>0.72863818511876322</c:v>
                </c:pt>
                <c:pt idx="12">
                  <c:v>0.72690310953271564</c:v>
                </c:pt>
                <c:pt idx="13">
                  <c:v>0.72435562588119407</c:v>
                </c:pt>
                <c:pt idx="14">
                  <c:v>0.71954453780900252</c:v>
                </c:pt>
                <c:pt idx="15">
                  <c:v>0.71190247091395464</c:v>
                </c:pt>
                <c:pt idx="16">
                  <c:v>0.70084573884568557</c:v>
                </c:pt>
                <c:pt idx="17">
                  <c:v>0.68737346987681891</c:v>
                </c:pt>
                <c:pt idx="18">
                  <c:v>0.67126079972126629</c:v>
                </c:pt>
                <c:pt idx="19">
                  <c:v>0.65469788200303924</c:v>
                </c:pt>
                <c:pt idx="20">
                  <c:v>0.63765493109044202</c:v>
                </c:pt>
                <c:pt idx="21">
                  <c:v>0.62011899748971633</c:v>
                </c:pt>
                <c:pt idx="22">
                  <c:v>0.60220550338088541</c:v>
                </c:pt>
                <c:pt idx="23">
                  <c:v>0.58387601199308936</c:v>
                </c:pt>
                <c:pt idx="24">
                  <c:v>0.56581939196318953</c:v>
                </c:pt>
                <c:pt idx="25">
                  <c:v>0.54622689882335995</c:v>
                </c:pt>
                <c:pt idx="26">
                  <c:v>0.53059037595215375</c:v>
                </c:pt>
                <c:pt idx="27">
                  <c:v>0.52741873272070694</c:v>
                </c:pt>
                <c:pt idx="28">
                  <c:v>0.52461382991954308</c:v>
                </c:pt>
                <c:pt idx="29">
                  <c:v>0.52143036961452305</c:v>
                </c:pt>
                <c:pt idx="30">
                  <c:v>0.52026477719749453</c:v>
                </c:pt>
                <c:pt idx="31">
                  <c:v>0.51737385321210172</c:v>
                </c:pt>
                <c:pt idx="32">
                  <c:v>0.51641534812915946</c:v>
                </c:pt>
                <c:pt idx="33">
                  <c:v>0.51249652288521419</c:v>
                </c:pt>
                <c:pt idx="34">
                  <c:v>0.51373047898361213</c:v>
                </c:pt>
                <c:pt idx="35">
                  <c:v>0.51201734532262522</c:v>
                </c:pt>
                <c:pt idx="36">
                  <c:v>0.50850160300151392</c:v>
                </c:pt>
                <c:pt idx="37">
                  <c:v>0.5</c:v>
                </c:pt>
                <c:pt idx="38">
                  <c:v>0.49430559592357182</c:v>
                </c:pt>
                <c:pt idx="39">
                  <c:v>0.49013595021755507</c:v>
                </c:pt>
                <c:pt idx="40">
                  <c:v>0.48475070184584773</c:v>
                </c:pt>
                <c:pt idx="41">
                  <c:v>0.48053882268434772</c:v>
                </c:pt>
                <c:pt idx="42">
                  <c:v>0.47627159965930416</c:v>
                </c:pt>
                <c:pt idx="43">
                  <c:v>0.47367006128531652</c:v>
                </c:pt>
                <c:pt idx="44">
                  <c:v>0.46912783867786045</c:v>
                </c:pt>
                <c:pt idx="45">
                  <c:v>0.45069846916758238</c:v>
                </c:pt>
                <c:pt idx="46">
                  <c:v>0.43232204534710778</c:v>
                </c:pt>
                <c:pt idx="47">
                  <c:v>0.41562978911650245</c:v>
                </c:pt>
                <c:pt idx="48">
                  <c:v>0.39939587525995607</c:v>
                </c:pt>
                <c:pt idx="49">
                  <c:v>0.38363993337121083</c:v>
                </c:pt>
                <c:pt idx="50">
                  <c:v>0.36873684160463321</c:v>
                </c:pt>
                <c:pt idx="51">
                  <c:v>0.35454923036027514</c:v>
                </c:pt>
                <c:pt idx="52">
                  <c:v>0.341403842158084</c:v>
                </c:pt>
                <c:pt idx="53">
                  <c:v>0.32883144150068017</c:v>
                </c:pt>
                <c:pt idx="54">
                  <c:v>0.31707071544960524</c:v>
                </c:pt>
                <c:pt idx="55">
                  <c:v>0.30582810305639585</c:v>
                </c:pt>
                <c:pt idx="56">
                  <c:v>0.29511705932605631</c:v>
                </c:pt>
                <c:pt idx="57">
                  <c:v>0.28506484112956165</c:v>
                </c:pt>
                <c:pt idx="58">
                  <c:v>0.27560039618686288</c:v>
                </c:pt>
                <c:pt idx="59">
                  <c:v>0.26649976297245426</c:v>
                </c:pt>
                <c:pt idx="60">
                  <c:v>0.25793343012033265</c:v>
                </c:pt>
                <c:pt idx="61">
                  <c:v>0.24981713301680741</c:v>
                </c:pt>
                <c:pt idx="62">
                  <c:v>0.24223361996841164</c:v>
                </c:pt>
                <c:pt idx="63">
                  <c:v>0.23493053046510315</c:v>
                </c:pt>
                <c:pt idx="64">
                  <c:v>0.2281308084056741</c:v>
                </c:pt>
                <c:pt idx="65">
                  <c:v>0.22163467981819487</c:v>
                </c:pt>
                <c:pt idx="66">
                  <c:v>0.21547181083509484</c:v>
                </c:pt>
                <c:pt idx="67">
                  <c:v>0.20964402227911416</c:v>
                </c:pt>
                <c:pt idx="68">
                  <c:v>0.20407152896430747</c:v>
                </c:pt>
                <c:pt idx="69">
                  <c:v>0.19876194067676781</c:v>
                </c:pt>
                <c:pt idx="70">
                  <c:v>0.19377181040303021</c:v>
                </c:pt>
                <c:pt idx="71">
                  <c:v>0.18896076820355312</c:v>
                </c:pt>
                <c:pt idx="72">
                  <c:v>0.1844785817615</c:v>
                </c:pt>
                <c:pt idx="73">
                  <c:v>0.18022540074720361</c:v>
                </c:pt>
                <c:pt idx="74">
                  <c:v>0.17602355130435915</c:v>
                </c:pt>
                <c:pt idx="75">
                  <c:v>0.17211448888792302</c:v>
                </c:pt>
                <c:pt idx="76">
                  <c:v>0.16840479650443732</c:v>
                </c:pt>
                <c:pt idx="77">
                  <c:v>0.16482313622371833</c:v>
                </c:pt>
                <c:pt idx="78">
                  <c:v>0.16149249203832558</c:v>
                </c:pt>
                <c:pt idx="79">
                  <c:v>0.15823925568137504</c:v>
                </c:pt>
                <c:pt idx="80">
                  <c:v>0.15513587677009694</c:v>
                </c:pt>
                <c:pt idx="81">
                  <c:v>0.15222868667650824</c:v>
                </c:pt>
                <c:pt idx="82">
                  <c:v>0.14940085293645339</c:v>
                </c:pt>
                <c:pt idx="83">
                  <c:v>0.1466433124100727</c:v>
                </c:pt>
                <c:pt idx="84">
                  <c:v>0.14400936740446646</c:v>
                </c:pt>
                <c:pt idx="85">
                  <c:v>0.14155476075081166</c:v>
                </c:pt>
                <c:pt idx="86">
                  <c:v>0.13906905969878142</c:v>
                </c:pt>
                <c:pt idx="87">
                  <c:v>0.13675227369527887</c:v>
                </c:pt>
                <c:pt idx="88">
                  <c:v>0.13443144877762614</c:v>
                </c:pt>
                <c:pt idx="89">
                  <c:v>0.13228566790537766</c:v>
                </c:pt>
                <c:pt idx="90">
                  <c:v>0.1301185396759118</c:v>
                </c:pt>
                <c:pt idx="91">
                  <c:v>0.12810090222675197</c:v>
                </c:pt>
                <c:pt idx="92">
                  <c:v>0.12617511265372816</c:v>
                </c:pt>
                <c:pt idx="93">
                  <c:v>0.12424205988441774</c:v>
                </c:pt>
                <c:pt idx="94">
                  <c:v>0.12239894541795719</c:v>
                </c:pt>
                <c:pt idx="95">
                  <c:v>0.11884407533850974</c:v>
                </c:pt>
                <c:pt idx="96">
                  <c:v>0.1155304459849351</c:v>
                </c:pt>
                <c:pt idx="97">
                  <c:v>0.11248659839362161</c:v>
                </c:pt>
                <c:pt idx="98">
                  <c:v>0.10954206969297962</c:v>
                </c:pt>
                <c:pt idx="99">
                  <c:v>0.10676370174106038</c:v>
                </c:pt>
                <c:pt idx="100">
                  <c:v>0.10408289854692793</c:v>
                </c:pt>
                <c:pt idx="101">
                  <c:v>0.10157030363491054</c:v>
                </c:pt>
                <c:pt idx="102">
                  <c:v>9.9207047287322173E-2</c:v>
                </c:pt>
                <c:pt idx="103">
                  <c:v>9.6942379496242168E-2</c:v>
                </c:pt>
                <c:pt idx="104">
                  <c:v>9.4723070158859737E-2</c:v>
                </c:pt>
                <c:pt idx="105">
                  <c:v>8.9823761799740817E-2</c:v>
                </c:pt>
                <c:pt idx="106">
                  <c:v>8.5340954903356511E-2</c:v>
                </c:pt>
                <c:pt idx="107">
                  <c:v>8.1297396015129308E-2</c:v>
                </c:pt>
                <c:pt idx="108">
                  <c:v>7.764339143532574E-2</c:v>
                </c:pt>
                <c:pt idx="109">
                  <c:v>7.4217912658124607E-2</c:v>
                </c:pt>
                <c:pt idx="110">
                  <c:v>7.1294763324914912E-2</c:v>
                </c:pt>
                <c:pt idx="111">
                  <c:v>6.8459179040711651E-2</c:v>
                </c:pt>
                <c:pt idx="112">
                  <c:v>6.5698342092758738E-2</c:v>
                </c:pt>
                <c:pt idx="113">
                  <c:v>6.3329141685444929E-2</c:v>
                </c:pt>
                <c:pt idx="114">
                  <c:v>6.1172199986996141E-2</c:v>
                </c:pt>
                <c:pt idx="115">
                  <c:v>5.9054647432616424E-2</c:v>
                </c:pt>
                <c:pt idx="116">
                  <c:v>5.7152611651943401E-2</c:v>
                </c:pt>
                <c:pt idx="117">
                  <c:v>5.5387458400706156E-2</c:v>
                </c:pt>
                <c:pt idx="118">
                  <c:v>5.3669323387689045E-2</c:v>
                </c:pt>
                <c:pt idx="119">
                  <c:v>5.2055332718163434E-2</c:v>
                </c:pt>
                <c:pt idx="120">
                  <c:v>5.0446080665054148E-2</c:v>
                </c:pt>
                <c:pt idx="121">
                  <c:v>4.9122054293535701E-2</c:v>
                </c:pt>
                <c:pt idx="122">
                  <c:v>4.7705080410698222E-2</c:v>
                </c:pt>
                <c:pt idx="123">
                  <c:v>4.6186764060612173E-2</c:v>
                </c:pt>
                <c:pt idx="124">
                  <c:v>4.5167235300866582E-2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B5-4453-BAEB-206ADCC4A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65048"/>
        <c:axId val="535964264"/>
      </c:scatterChart>
      <c:valAx>
        <c:axId val="53596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64264"/>
        <c:crosses val="autoZero"/>
        <c:crossBetween val="midCat"/>
      </c:valAx>
      <c:valAx>
        <c:axId val="53596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65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635_Ru'!$I$1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635_Ru'!$H$2:$H$72</c:f>
              <c:numCache>
                <c:formatCode>General</c:formatCode>
                <c:ptCount val="71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0.10606601717798214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0.28284271247461895</c:v>
                </c:pt>
                <c:pt idx="8">
                  <c:v>0.31819805153394631</c:v>
                </c:pt>
                <c:pt idx="9">
                  <c:v>0.35355339059327368</c:v>
                </c:pt>
                <c:pt idx="10">
                  <c:v>0.38890872965260104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0.49497474683058329</c:v>
                </c:pt>
                <c:pt idx="14">
                  <c:v>0.53033008588991071</c:v>
                </c:pt>
                <c:pt idx="15">
                  <c:v>0.56568542494923812</c:v>
                </c:pt>
                <c:pt idx="16">
                  <c:v>0.60104076400856554</c:v>
                </c:pt>
                <c:pt idx="17">
                  <c:v>0.63639610306789285</c:v>
                </c:pt>
                <c:pt idx="18">
                  <c:v>0.67175144212722027</c:v>
                </c:pt>
                <c:pt idx="19">
                  <c:v>0.70710678118654768</c:v>
                </c:pt>
                <c:pt idx="20">
                  <c:v>0.74246212024587499</c:v>
                </c:pt>
                <c:pt idx="21">
                  <c:v>0.77781745930520241</c:v>
                </c:pt>
                <c:pt idx="22">
                  <c:v>0.81317279836452983</c:v>
                </c:pt>
                <c:pt idx="23">
                  <c:v>0.84852813742385724</c:v>
                </c:pt>
                <c:pt idx="24">
                  <c:v>0.88388347648318466</c:v>
                </c:pt>
                <c:pt idx="25">
                  <c:v>0.91923881554251208</c:v>
                </c:pt>
                <c:pt idx="26">
                  <c:v>0.9545941546018395</c:v>
                </c:pt>
                <c:pt idx="27">
                  <c:v>0.98994949366116691</c:v>
                </c:pt>
                <c:pt idx="28">
                  <c:v>1.0253048327204943</c:v>
                </c:pt>
                <c:pt idx="29">
                  <c:v>1.0606601717798216</c:v>
                </c:pt>
                <c:pt idx="30">
                  <c:v>1.0960155108391492</c:v>
                </c:pt>
                <c:pt idx="31">
                  <c:v>1.1313708498984765</c:v>
                </c:pt>
                <c:pt idx="32">
                  <c:v>1.166726188957804</c:v>
                </c:pt>
                <c:pt idx="33">
                  <c:v>1.2020815280171313</c:v>
                </c:pt>
                <c:pt idx="34">
                  <c:v>1.2374368670764586</c:v>
                </c:pt>
                <c:pt idx="35">
                  <c:v>1.2727922061357861</c:v>
                </c:pt>
                <c:pt idx="36">
                  <c:v>1.3081475451951134</c:v>
                </c:pt>
                <c:pt idx="37">
                  <c:v>1.343502884254441</c:v>
                </c:pt>
                <c:pt idx="38">
                  <c:v>1.3788582233137683</c:v>
                </c:pt>
                <c:pt idx="39">
                  <c:v>1.4142135623730956</c:v>
                </c:pt>
                <c:pt idx="40">
                  <c:v>1.4495689014324229</c:v>
                </c:pt>
                <c:pt idx="41">
                  <c:v>1.48492424049175</c:v>
                </c:pt>
                <c:pt idx="42">
                  <c:v>1.5202795795510773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1.6617009357883863</c:v>
                </c:pt>
                <c:pt idx="47">
                  <c:v>1.6970562748477136</c:v>
                </c:pt>
                <c:pt idx="48">
                  <c:v>1.7324116139070409</c:v>
                </c:pt>
                <c:pt idx="49">
                  <c:v>1.767766952966368</c:v>
                </c:pt>
                <c:pt idx="50">
                  <c:v>1.8031222920256953</c:v>
                </c:pt>
                <c:pt idx="51">
                  <c:v>1.8384776310850226</c:v>
                </c:pt>
                <c:pt idx="52">
                  <c:v>1.8738329701443499</c:v>
                </c:pt>
                <c:pt idx="53">
                  <c:v>1.909188309203677</c:v>
                </c:pt>
                <c:pt idx="54">
                  <c:v>1.9445436482630043</c:v>
                </c:pt>
                <c:pt idx="55">
                  <c:v>1.9798989873223316</c:v>
                </c:pt>
                <c:pt idx="56">
                  <c:v>2.0152543263816587</c:v>
                </c:pt>
                <c:pt idx="57">
                  <c:v>2.050609665440986</c:v>
                </c:pt>
                <c:pt idx="58">
                  <c:v>2.0859650045003133</c:v>
                </c:pt>
                <c:pt idx="59">
                  <c:v>2.1213203435596406</c:v>
                </c:pt>
                <c:pt idx="60">
                  <c:v>2.1566756826189679</c:v>
                </c:pt>
                <c:pt idx="61">
                  <c:v>2.1920310216782952</c:v>
                </c:pt>
                <c:pt idx="62">
                  <c:v>2.2273863607376221</c:v>
                </c:pt>
                <c:pt idx="63">
                  <c:v>2.2627416997969494</c:v>
                </c:pt>
                <c:pt idx="64">
                  <c:v>2.2980970388562767</c:v>
                </c:pt>
                <c:pt idx="65">
                  <c:v>2.333452377915604</c:v>
                </c:pt>
                <c:pt idx="66">
                  <c:v>2.3688077169749313</c:v>
                </c:pt>
                <c:pt idx="67">
                  <c:v>2.4041630560342586</c:v>
                </c:pt>
                <c:pt idx="68">
                  <c:v>2.4395183950935859</c:v>
                </c:pt>
                <c:pt idx="69">
                  <c:v>2.4748737341529132</c:v>
                </c:pt>
                <c:pt idx="70">
                  <c:v>2.5102290732122401</c:v>
                </c:pt>
              </c:numCache>
            </c:numRef>
          </c:xVal>
          <c:yVal>
            <c:numRef>
              <c:f>'LCVR 635_Ru'!$I$2:$I$72</c:f>
              <c:numCache>
                <c:formatCode>General</c:formatCode>
                <c:ptCount val="71"/>
                <c:pt idx="0">
                  <c:v>1.6692767763282197</c:v>
                </c:pt>
                <c:pt idx="1">
                  <c:v>1.6740974579799663</c:v>
                </c:pt>
                <c:pt idx="2">
                  <c:v>1.6757048817948816</c:v>
                </c:pt>
                <c:pt idx="3">
                  <c:v>1.6773125777188849</c:v>
                </c:pt>
                <c:pt idx="4">
                  <c:v>1.6789205500477318</c:v>
                </c:pt>
                <c:pt idx="5">
                  <c:v>1.6773125777188849</c:v>
                </c:pt>
                <c:pt idx="6">
                  <c:v>1.6773125777188849</c:v>
                </c:pt>
                <c:pt idx="7">
                  <c:v>1.6757048817948816</c:v>
                </c:pt>
                <c:pt idx="8">
                  <c:v>1.6773125777188849</c:v>
                </c:pt>
                <c:pt idx="9">
                  <c:v>1.6740974579799663</c:v>
                </c:pt>
                <c:pt idx="10">
                  <c:v>1.6773125777188849</c:v>
                </c:pt>
                <c:pt idx="11">
                  <c:v>1.6773125777188849</c:v>
                </c:pt>
                <c:pt idx="12">
                  <c:v>1.6789205500477318</c:v>
                </c:pt>
                <c:pt idx="13">
                  <c:v>1.6773125777188849</c:v>
                </c:pt>
                <c:pt idx="14">
                  <c:v>1.6789205500477318</c:v>
                </c:pt>
                <c:pt idx="15">
                  <c:v>1.6773125777188849</c:v>
                </c:pt>
                <c:pt idx="16">
                  <c:v>1.6773125777188849</c:v>
                </c:pt>
                <c:pt idx="17">
                  <c:v>1.6789205500477318</c:v>
                </c:pt>
                <c:pt idx="18">
                  <c:v>1.6789205500477318</c:v>
                </c:pt>
                <c:pt idx="19">
                  <c:v>1.6789205500477318</c:v>
                </c:pt>
                <c:pt idx="20">
                  <c:v>1.6789205500477318</c:v>
                </c:pt>
                <c:pt idx="21">
                  <c:v>1.6805288030837333</c:v>
                </c:pt>
                <c:pt idx="22">
                  <c:v>1.6805288030837333</c:v>
                </c:pt>
                <c:pt idx="23">
                  <c:v>1.6821373411358607</c:v>
                </c:pt>
                <c:pt idx="24">
                  <c:v>1.6837461685198556</c:v>
                </c:pt>
                <c:pt idx="25">
                  <c:v>1.686964708580923</c:v>
                </c:pt>
                <c:pt idx="26">
                  <c:v>1.6917947969565066</c:v>
                </c:pt>
                <c:pt idx="27">
                  <c:v>1.6950164254947691</c:v>
                </c:pt>
                <c:pt idx="28">
                  <c:v>1.6966277237490344</c:v>
                </c:pt>
                <c:pt idx="29">
                  <c:v>1.6998513101361306</c:v>
                </c:pt>
                <c:pt idx="30">
                  <c:v>1.7063025656133983</c:v>
                </c:pt>
                <c:pt idx="31">
                  <c:v>1.7176061002424463</c:v>
                </c:pt>
                <c:pt idx="32">
                  <c:v>1.7321672434769118</c:v>
                </c:pt>
                <c:pt idx="33">
                  <c:v>1.7467629869807515</c:v>
                </c:pt>
                <c:pt idx="34">
                  <c:v>1.7646541544441832</c:v>
                </c:pt>
                <c:pt idx="35">
                  <c:v>1.7875168042956986</c:v>
                </c:pt>
                <c:pt idx="36">
                  <c:v>1.8170836007985456</c:v>
                </c:pt>
                <c:pt idx="37">
                  <c:v>1.8485339310965514</c:v>
                </c:pt>
                <c:pt idx="38">
                  <c:v>1.8802689494724514</c:v>
                </c:pt>
                <c:pt idx="39">
                  <c:v>1.9225284275976622</c:v>
                </c:pt>
                <c:pt idx="40">
                  <c:v>1.9637229950911748</c:v>
                </c:pt>
                <c:pt idx="41">
                  <c:v>2.0038717363733496</c:v>
                </c:pt>
                <c:pt idx="42">
                  <c:v>2.0483774487536177</c:v>
                </c:pt>
                <c:pt idx="43">
                  <c:v>2.0957801896692709</c:v>
                </c:pt>
                <c:pt idx="44">
                  <c:v>2.1407206624739761</c:v>
                </c:pt>
                <c:pt idx="45">
                  <c:v>2.1909191163451052</c:v>
                </c:pt>
                <c:pt idx="46">
                  <c:v>2.2389075250524964</c:v>
                </c:pt>
                <c:pt idx="47">
                  <c:v>2.2909130518737948</c:v>
                </c:pt>
                <c:pt idx="48">
                  <c:v>2.3387216161707647</c:v>
                </c:pt>
                <c:pt idx="49">
                  <c:v>2.3865136870820702</c:v>
                </c:pt>
                <c:pt idx="50">
                  <c:v>2.4368689429548507</c:v>
                </c:pt>
                <c:pt idx="51">
                  <c:v>2.474738616698938</c:v>
                </c:pt>
                <c:pt idx="52">
                  <c:v>2.51452600526473</c:v>
                </c:pt>
                <c:pt idx="53">
                  <c:v>2.5537414972042249</c:v>
                </c:pt>
                <c:pt idx="54">
                  <c:v>2.5985011035758232</c:v>
                </c:pt>
                <c:pt idx="55">
                  <c:v>2.6435037815481843</c:v>
                </c:pt>
                <c:pt idx="56">
                  <c:v>2.6962845979349561</c:v>
                </c:pt>
                <c:pt idx="57">
                  <c:v>2.755689409099225</c:v>
                </c:pt>
                <c:pt idx="58">
                  <c:v>2.8006684206570553</c:v>
                </c:pt>
                <c:pt idx="59">
                  <c:v>2.8467040796390779</c:v>
                </c:pt>
                <c:pt idx="60">
                  <c:v>3.1415926535897931</c:v>
                </c:pt>
                <c:pt idx="61">
                  <c:v>3.1415926535897931</c:v>
                </c:pt>
                <c:pt idx="62">
                  <c:v>3.0850391888028978</c:v>
                </c:pt>
                <c:pt idx="63">
                  <c:v>3.0616033112997503</c:v>
                </c:pt>
                <c:pt idx="64">
                  <c:v>3.002973023368896</c:v>
                </c:pt>
                <c:pt idx="65">
                  <c:v>2.9537750904412379</c:v>
                </c:pt>
                <c:pt idx="66">
                  <c:v>2.7642751201531213</c:v>
                </c:pt>
                <c:pt idx="67">
                  <c:v>2.7113699815726884</c:v>
                </c:pt>
                <c:pt idx="68">
                  <c:v>2.6302787121523172</c:v>
                </c:pt>
                <c:pt idx="69">
                  <c:v>2.5862507443657194</c:v>
                </c:pt>
                <c:pt idx="70">
                  <c:v>2.5310630746495075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C5-4557-854C-C9152C0CC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236399"/>
        <c:axId val="1232236879"/>
      </c:scatterChart>
      <c:valAx>
        <c:axId val="123223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36879"/>
        <c:crosses val="autoZero"/>
        <c:crossBetween val="midCat"/>
      </c:valAx>
      <c:valAx>
        <c:axId val="123223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23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635_Ru'!$B$1</c:f>
              <c:strCache>
                <c:ptCount val="1"/>
                <c:pt idx="0">
                  <c:v>Intensity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'LCVR 635_Ru'!$A$2:$A$126</c:f>
              <c:numCache>
                <c:formatCode>General</c:formatCode>
                <c:ptCount val="125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  <c:pt idx="10">
                  <c:v>1.0999999999999999</c:v>
                </c:pt>
                <c:pt idx="11">
                  <c:v>1.2</c:v>
                </c:pt>
                <c:pt idx="12">
                  <c:v>1.3</c:v>
                </c:pt>
                <c:pt idx="13">
                  <c:v>1.4000000000000001</c:v>
                </c:pt>
                <c:pt idx="14">
                  <c:v>1.5000000000000002</c:v>
                </c:pt>
                <c:pt idx="15">
                  <c:v>1.6000000000000003</c:v>
                </c:pt>
                <c:pt idx="16">
                  <c:v>1.7000000000000004</c:v>
                </c:pt>
                <c:pt idx="17">
                  <c:v>1.8000000000000005</c:v>
                </c:pt>
                <c:pt idx="18">
                  <c:v>1.9000000000000006</c:v>
                </c:pt>
                <c:pt idx="19">
                  <c:v>2.0000000000000004</c:v>
                </c:pt>
                <c:pt idx="20">
                  <c:v>2.1000000000000005</c:v>
                </c:pt>
                <c:pt idx="21">
                  <c:v>2.2000000000000006</c:v>
                </c:pt>
                <c:pt idx="22">
                  <c:v>2.3000000000000007</c:v>
                </c:pt>
                <c:pt idx="23">
                  <c:v>2.4000000000000008</c:v>
                </c:pt>
                <c:pt idx="24">
                  <c:v>2.5000000000000009</c:v>
                </c:pt>
                <c:pt idx="25">
                  <c:v>2.600000000000001</c:v>
                </c:pt>
                <c:pt idx="26">
                  <c:v>2.7000000000000011</c:v>
                </c:pt>
                <c:pt idx="27">
                  <c:v>2.8000000000000012</c:v>
                </c:pt>
                <c:pt idx="28">
                  <c:v>2.9000000000000012</c:v>
                </c:pt>
                <c:pt idx="29">
                  <c:v>3.0000000000000013</c:v>
                </c:pt>
                <c:pt idx="30">
                  <c:v>3.1000000000000014</c:v>
                </c:pt>
                <c:pt idx="31">
                  <c:v>3.2000000000000015</c:v>
                </c:pt>
                <c:pt idx="32">
                  <c:v>3.3000000000000016</c:v>
                </c:pt>
                <c:pt idx="33">
                  <c:v>3.4000000000000017</c:v>
                </c:pt>
                <c:pt idx="34">
                  <c:v>3.5000000000000018</c:v>
                </c:pt>
                <c:pt idx="35">
                  <c:v>3.6000000000000019</c:v>
                </c:pt>
                <c:pt idx="36">
                  <c:v>3.700000000000002</c:v>
                </c:pt>
                <c:pt idx="37">
                  <c:v>3.800000000000002</c:v>
                </c:pt>
                <c:pt idx="38">
                  <c:v>3.9000000000000021</c:v>
                </c:pt>
                <c:pt idx="39">
                  <c:v>4.0000000000000018</c:v>
                </c:pt>
                <c:pt idx="40">
                  <c:v>4.1000000000000014</c:v>
                </c:pt>
                <c:pt idx="41">
                  <c:v>4.2000000000000011</c:v>
                </c:pt>
                <c:pt idx="42">
                  <c:v>4.3000000000000007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4.6999999999999993</c:v>
                </c:pt>
                <c:pt idx="47">
                  <c:v>4.7999999999999989</c:v>
                </c:pt>
                <c:pt idx="48">
                  <c:v>4.8999999999999986</c:v>
                </c:pt>
                <c:pt idx="49">
                  <c:v>4.9999999999999982</c:v>
                </c:pt>
                <c:pt idx="50">
                  <c:v>5.0999999999999979</c:v>
                </c:pt>
                <c:pt idx="51">
                  <c:v>5.1999999999999975</c:v>
                </c:pt>
                <c:pt idx="52">
                  <c:v>5.2999999999999972</c:v>
                </c:pt>
                <c:pt idx="53">
                  <c:v>5.3999999999999968</c:v>
                </c:pt>
                <c:pt idx="54">
                  <c:v>5.4999999999999964</c:v>
                </c:pt>
                <c:pt idx="55">
                  <c:v>5.5999999999999961</c:v>
                </c:pt>
                <c:pt idx="56">
                  <c:v>5.6999999999999957</c:v>
                </c:pt>
                <c:pt idx="57">
                  <c:v>5.7999999999999954</c:v>
                </c:pt>
                <c:pt idx="58">
                  <c:v>5.899999999999995</c:v>
                </c:pt>
                <c:pt idx="59">
                  <c:v>5.9999999999999947</c:v>
                </c:pt>
                <c:pt idx="60">
                  <c:v>6.0999999999999943</c:v>
                </c:pt>
                <c:pt idx="61">
                  <c:v>6.199999999999994</c:v>
                </c:pt>
                <c:pt idx="62">
                  <c:v>6.2999999999999936</c:v>
                </c:pt>
                <c:pt idx="63">
                  <c:v>6.3999999999999932</c:v>
                </c:pt>
                <c:pt idx="64">
                  <c:v>6.4999999999999929</c:v>
                </c:pt>
                <c:pt idx="65">
                  <c:v>6.5999999999999925</c:v>
                </c:pt>
                <c:pt idx="66">
                  <c:v>6.6999999999999922</c:v>
                </c:pt>
                <c:pt idx="67">
                  <c:v>6.7999999999999918</c:v>
                </c:pt>
                <c:pt idx="68">
                  <c:v>6.8999999999999915</c:v>
                </c:pt>
                <c:pt idx="69">
                  <c:v>6.9999999999999911</c:v>
                </c:pt>
                <c:pt idx="70">
                  <c:v>7.0999999999999908</c:v>
                </c:pt>
                <c:pt idx="71">
                  <c:v>7.1999999999999904</c:v>
                </c:pt>
                <c:pt idx="72">
                  <c:v>7.2999999999999901</c:v>
                </c:pt>
                <c:pt idx="73">
                  <c:v>7.3999999999999897</c:v>
                </c:pt>
                <c:pt idx="74">
                  <c:v>7.4999999999999893</c:v>
                </c:pt>
                <c:pt idx="75">
                  <c:v>7.599999999999989</c:v>
                </c:pt>
                <c:pt idx="76">
                  <c:v>7.6999999999999886</c:v>
                </c:pt>
                <c:pt idx="77">
                  <c:v>7.7999999999999883</c:v>
                </c:pt>
                <c:pt idx="78">
                  <c:v>7.8999999999999879</c:v>
                </c:pt>
                <c:pt idx="79">
                  <c:v>7.9999999999999876</c:v>
                </c:pt>
                <c:pt idx="80">
                  <c:v>8.0999999999999872</c:v>
                </c:pt>
                <c:pt idx="81">
                  <c:v>8.1999999999999869</c:v>
                </c:pt>
                <c:pt idx="82">
                  <c:v>8.2999999999999865</c:v>
                </c:pt>
                <c:pt idx="83">
                  <c:v>8.3999999999999861</c:v>
                </c:pt>
                <c:pt idx="84">
                  <c:v>8.4999999999999858</c:v>
                </c:pt>
                <c:pt idx="85">
                  <c:v>7.0999999999999899</c:v>
                </c:pt>
                <c:pt idx="86">
                  <c:v>7.1999999999999895</c:v>
                </c:pt>
                <c:pt idx="87">
                  <c:v>7.2999999999999892</c:v>
                </c:pt>
                <c:pt idx="88">
                  <c:v>7.3999999999999888</c:v>
                </c:pt>
                <c:pt idx="89">
                  <c:v>7.4999999999999885</c:v>
                </c:pt>
                <c:pt idx="90">
                  <c:v>7.5999999999999881</c:v>
                </c:pt>
                <c:pt idx="91">
                  <c:v>7.6999999999999877</c:v>
                </c:pt>
                <c:pt idx="92">
                  <c:v>7.7999999999999874</c:v>
                </c:pt>
                <c:pt idx="93">
                  <c:v>7.899999999999987</c:v>
                </c:pt>
                <c:pt idx="94">
                  <c:v>7.9999999999999867</c:v>
                </c:pt>
                <c:pt idx="95">
                  <c:v>8.1999999999999869</c:v>
                </c:pt>
                <c:pt idx="96">
                  <c:v>8.3999999999999861</c:v>
                </c:pt>
                <c:pt idx="97">
                  <c:v>8.5999999999999854</c:v>
                </c:pt>
                <c:pt idx="98">
                  <c:v>8.7999999999999847</c:v>
                </c:pt>
                <c:pt idx="99">
                  <c:v>8.999999999999984</c:v>
                </c:pt>
                <c:pt idx="100">
                  <c:v>9.1999999999999833</c:v>
                </c:pt>
                <c:pt idx="101">
                  <c:v>9.3999999999999826</c:v>
                </c:pt>
                <c:pt idx="102">
                  <c:v>9.5999999999999819</c:v>
                </c:pt>
                <c:pt idx="103">
                  <c:v>9.7999999999999812</c:v>
                </c:pt>
                <c:pt idx="104">
                  <c:v>9.9999999999999805</c:v>
                </c:pt>
                <c:pt idx="105">
                  <c:v>10.49999999999998</c:v>
                </c:pt>
                <c:pt idx="106">
                  <c:v>10.99999999999998</c:v>
                </c:pt>
                <c:pt idx="107">
                  <c:v>11.49999999999998</c:v>
                </c:pt>
                <c:pt idx="108">
                  <c:v>11.99999999999998</c:v>
                </c:pt>
                <c:pt idx="109">
                  <c:v>12.49999999999998</c:v>
                </c:pt>
                <c:pt idx="110">
                  <c:v>12.99999999999998</c:v>
                </c:pt>
                <c:pt idx="111">
                  <c:v>13.49999999999998</c:v>
                </c:pt>
                <c:pt idx="112">
                  <c:v>13.99999999999998</c:v>
                </c:pt>
                <c:pt idx="113">
                  <c:v>14.49999999999998</c:v>
                </c:pt>
                <c:pt idx="114">
                  <c:v>14.99999999999998</c:v>
                </c:pt>
                <c:pt idx="115">
                  <c:v>15.49999999999998</c:v>
                </c:pt>
                <c:pt idx="116">
                  <c:v>15.99999999999998</c:v>
                </c:pt>
                <c:pt idx="117">
                  <c:v>16.499999999999979</c:v>
                </c:pt>
                <c:pt idx="118">
                  <c:v>16.999999999999979</c:v>
                </c:pt>
                <c:pt idx="119">
                  <c:v>17.499999999999979</c:v>
                </c:pt>
                <c:pt idx="120">
                  <c:v>17.999999999999979</c:v>
                </c:pt>
                <c:pt idx="121">
                  <c:v>18.499999999999979</c:v>
                </c:pt>
                <c:pt idx="122">
                  <c:v>18.999999999999979</c:v>
                </c:pt>
                <c:pt idx="123">
                  <c:v>19.499999999999979</c:v>
                </c:pt>
                <c:pt idx="124">
                  <c:v>19.999999999999979</c:v>
                </c:pt>
              </c:numCache>
            </c:numRef>
          </c:xVal>
          <c:yVal>
            <c:numRef>
              <c:f>'LCVR 635_Ru'!$B$2:$B$126</c:f>
              <c:numCache>
                <c:formatCode>0.0000</c:formatCode>
                <c:ptCount val="125"/>
                <c:pt idx="0">
                  <c:v>6.8699999999999997E-2</c:v>
                </c:pt>
                <c:pt idx="1">
                  <c:v>6.9000000000000006E-2</c:v>
                </c:pt>
                <c:pt idx="2">
                  <c:v>6.9099999999999995E-2</c:v>
                </c:pt>
                <c:pt idx="3">
                  <c:v>6.9199999999999998E-2</c:v>
                </c:pt>
                <c:pt idx="4">
                  <c:v>6.93E-2</c:v>
                </c:pt>
                <c:pt idx="5">
                  <c:v>6.9199999999999998E-2</c:v>
                </c:pt>
                <c:pt idx="6">
                  <c:v>6.9199999999999998E-2</c:v>
                </c:pt>
                <c:pt idx="7">
                  <c:v>6.9099999999999995E-2</c:v>
                </c:pt>
                <c:pt idx="8">
                  <c:v>6.9199999999999998E-2</c:v>
                </c:pt>
                <c:pt idx="9">
                  <c:v>6.9000000000000006E-2</c:v>
                </c:pt>
                <c:pt idx="10">
                  <c:v>6.9199999999999998E-2</c:v>
                </c:pt>
                <c:pt idx="11">
                  <c:v>6.9199999999999998E-2</c:v>
                </c:pt>
                <c:pt idx="12">
                  <c:v>6.93E-2</c:v>
                </c:pt>
                <c:pt idx="13">
                  <c:v>6.9199999999999998E-2</c:v>
                </c:pt>
                <c:pt idx="14">
                  <c:v>6.93E-2</c:v>
                </c:pt>
                <c:pt idx="15">
                  <c:v>6.9199999999999998E-2</c:v>
                </c:pt>
                <c:pt idx="16">
                  <c:v>6.9199999999999998E-2</c:v>
                </c:pt>
                <c:pt idx="17">
                  <c:v>6.93E-2</c:v>
                </c:pt>
                <c:pt idx="18">
                  <c:v>6.93E-2</c:v>
                </c:pt>
                <c:pt idx="19">
                  <c:v>6.93E-2</c:v>
                </c:pt>
                <c:pt idx="20">
                  <c:v>6.93E-2</c:v>
                </c:pt>
                <c:pt idx="21">
                  <c:v>6.9400000000000003E-2</c:v>
                </c:pt>
                <c:pt idx="22">
                  <c:v>6.9400000000000003E-2</c:v>
                </c:pt>
                <c:pt idx="23">
                  <c:v>6.9500000000000006E-2</c:v>
                </c:pt>
                <c:pt idx="24">
                  <c:v>6.9599999999999995E-2</c:v>
                </c:pt>
                <c:pt idx="25">
                  <c:v>6.9800000000000001E-2</c:v>
                </c:pt>
                <c:pt idx="26">
                  <c:v>7.0099999999999996E-2</c:v>
                </c:pt>
                <c:pt idx="27">
                  <c:v>7.0300000000000001E-2</c:v>
                </c:pt>
                <c:pt idx="28">
                  <c:v>7.0400000000000004E-2</c:v>
                </c:pt>
                <c:pt idx="29">
                  <c:v>7.0599999999999996E-2</c:v>
                </c:pt>
                <c:pt idx="30">
                  <c:v>7.0999999999999994E-2</c:v>
                </c:pt>
                <c:pt idx="31">
                  <c:v>7.17E-2</c:v>
                </c:pt>
                <c:pt idx="32">
                  <c:v>7.2599999999999998E-2</c:v>
                </c:pt>
                <c:pt idx="33">
                  <c:v>7.3499999999999996E-2</c:v>
                </c:pt>
                <c:pt idx="34">
                  <c:v>7.46E-2</c:v>
                </c:pt>
                <c:pt idx="35">
                  <c:v>7.5999999999999998E-2</c:v>
                </c:pt>
                <c:pt idx="36">
                  <c:v>7.7799999999999994E-2</c:v>
                </c:pt>
                <c:pt idx="37">
                  <c:v>7.9699999999999993E-2</c:v>
                </c:pt>
                <c:pt idx="38">
                  <c:v>8.1600000000000006E-2</c:v>
                </c:pt>
                <c:pt idx="39">
                  <c:v>8.4099999999999994E-2</c:v>
                </c:pt>
                <c:pt idx="40">
                  <c:v>8.6499999999999994E-2</c:v>
                </c:pt>
                <c:pt idx="41">
                  <c:v>8.8800000000000004E-2</c:v>
                </c:pt>
                <c:pt idx="42">
                  <c:v>9.1300000000000006E-2</c:v>
                </c:pt>
                <c:pt idx="43">
                  <c:v>9.3899999999999997E-2</c:v>
                </c:pt>
                <c:pt idx="44">
                  <c:v>9.6299999999999997E-2</c:v>
                </c:pt>
                <c:pt idx="45">
                  <c:v>9.8900000000000002E-2</c:v>
                </c:pt>
                <c:pt idx="46">
                  <c:v>0.1013</c:v>
                </c:pt>
                <c:pt idx="47">
                  <c:v>0.1038</c:v>
                </c:pt>
                <c:pt idx="48">
                  <c:v>0.106</c:v>
                </c:pt>
                <c:pt idx="49">
                  <c:v>0.1081</c:v>
                </c:pt>
                <c:pt idx="50">
                  <c:v>0.11020000000000001</c:v>
                </c:pt>
                <c:pt idx="51">
                  <c:v>0.11169999999999999</c:v>
                </c:pt>
                <c:pt idx="52">
                  <c:v>0.1132</c:v>
                </c:pt>
                <c:pt idx="53">
                  <c:v>0.11459999999999999</c:v>
                </c:pt>
                <c:pt idx="54">
                  <c:v>0.11609999999999999</c:v>
                </c:pt>
                <c:pt idx="55">
                  <c:v>0.11749999999999999</c:v>
                </c:pt>
                <c:pt idx="56">
                  <c:v>0.11899999999999999</c:v>
                </c:pt>
                <c:pt idx="57">
                  <c:v>0.1205</c:v>
                </c:pt>
                <c:pt idx="58">
                  <c:v>0.1215</c:v>
                </c:pt>
                <c:pt idx="59">
                  <c:v>0.12239999999999999</c:v>
                </c:pt>
                <c:pt idx="60">
                  <c:v>0.12509999999999999</c:v>
                </c:pt>
                <c:pt idx="61">
                  <c:v>0.12509999999999999</c:v>
                </c:pt>
                <c:pt idx="62">
                  <c:v>0.125</c:v>
                </c:pt>
                <c:pt idx="63">
                  <c:v>0.1249</c:v>
                </c:pt>
                <c:pt idx="64">
                  <c:v>0.1245</c:v>
                </c:pt>
                <c:pt idx="65">
                  <c:v>0.124</c:v>
                </c:pt>
                <c:pt idx="66">
                  <c:v>0.1207</c:v>
                </c:pt>
                <c:pt idx="67">
                  <c:v>0.11940000000000001</c:v>
                </c:pt>
                <c:pt idx="68">
                  <c:v>0.1171</c:v>
                </c:pt>
                <c:pt idx="69">
                  <c:v>0.1157</c:v>
                </c:pt>
                <c:pt idx="70">
                  <c:v>0.1138</c:v>
                </c:pt>
                <c:pt idx="71">
                  <c:v>0.11269999999999999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A1-4632-9620-351E8DEEC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823903"/>
        <c:axId val="1797824863"/>
      </c:scatterChart>
      <c:valAx>
        <c:axId val="179782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24863"/>
        <c:crosses val="autoZero"/>
        <c:crossBetween val="midCat"/>
      </c:valAx>
      <c:valAx>
        <c:axId val="179782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2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'LCVR 654_SD'!$B$1</c:f>
              <c:strCache>
                <c:ptCount val="1"/>
                <c:pt idx="0">
                  <c:v>Intensity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654_SD'!$A$2:$A$111</c:f>
              <c:numCache>
                <c:formatCode>General</c:formatCode>
                <c:ptCount val="1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6.71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8.1999999999999993</c:v>
                </c:pt>
                <c:pt idx="81">
                  <c:v>8.4</c:v>
                </c:pt>
                <c:pt idx="82">
                  <c:v>8.6</c:v>
                </c:pt>
                <c:pt idx="83">
                  <c:v>8.8000000000000007</c:v>
                </c:pt>
                <c:pt idx="84">
                  <c:v>9</c:v>
                </c:pt>
                <c:pt idx="85">
                  <c:v>9.1999999999999993</c:v>
                </c:pt>
                <c:pt idx="86">
                  <c:v>9.4</c:v>
                </c:pt>
                <c:pt idx="87">
                  <c:v>9.6</c:v>
                </c:pt>
                <c:pt idx="88">
                  <c:v>9.8000000000000007</c:v>
                </c:pt>
                <c:pt idx="89">
                  <c:v>10</c:v>
                </c:pt>
                <c:pt idx="90">
                  <c:v>10.5</c:v>
                </c:pt>
                <c:pt idx="91">
                  <c:v>11</c:v>
                </c:pt>
                <c:pt idx="92">
                  <c:v>11.5</c:v>
                </c:pt>
                <c:pt idx="93">
                  <c:v>12</c:v>
                </c:pt>
                <c:pt idx="94">
                  <c:v>12.5</c:v>
                </c:pt>
                <c:pt idx="95">
                  <c:v>13</c:v>
                </c:pt>
                <c:pt idx="96">
                  <c:v>13.5</c:v>
                </c:pt>
                <c:pt idx="97">
                  <c:v>14</c:v>
                </c:pt>
                <c:pt idx="98">
                  <c:v>14.5</c:v>
                </c:pt>
                <c:pt idx="99">
                  <c:v>15</c:v>
                </c:pt>
                <c:pt idx="100">
                  <c:v>15.5</c:v>
                </c:pt>
                <c:pt idx="101">
                  <c:v>16</c:v>
                </c:pt>
                <c:pt idx="102">
                  <c:v>16.5</c:v>
                </c:pt>
                <c:pt idx="103">
                  <c:v>17</c:v>
                </c:pt>
                <c:pt idx="104">
                  <c:v>17.5</c:v>
                </c:pt>
                <c:pt idx="105">
                  <c:v>18</c:v>
                </c:pt>
                <c:pt idx="106">
                  <c:v>18.5</c:v>
                </c:pt>
                <c:pt idx="107">
                  <c:v>19</c:v>
                </c:pt>
                <c:pt idx="108">
                  <c:v>19.5</c:v>
                </c:pt>
                <c:pt idx="109">
                  <c:v>19.899999999999999</c:v>
                </c:pt>
              </c:numCache>
            </c:numRef>
          </c:xVal>
          <c:yVal>
            <c:numRef>
              <c:f>'LCVR 654_SD'!$B$2:$B$111</c:f>
              <c:numCache>
                <c:formatCode>General</c:formatCode>
                <c:ptCount val="110"/>
                <c:pt idx="0">
                  <c:v>0.83499999999999996</c:v>
                </c:pt>
                <c:pt idx="1">
                  <c:v>0.83599999999999997</c:v>
                </c:pt>
                <c:pt idx="2">
                  <c:v>0.83599999999999997</c:v>
                </c:pt>
                <c:pt idx="3">
                  <c:v>0.83699999999999997</c:v>
                </c:pt>
                <c:pt idx="4">
                  <c:v>0.83699999999999997</c:v>
                </c:pt>
                <c:pt idx="5">
                  <c:v>0.83799999999999997</c:v>
                </c:pt>
                <c:pt idx="6">
                  <c:v>0.83699999999999997</c:v>
                </c:pt>
                <c:pt idx="7">
                  <c:v>0.83799999999999997</c:v>
                </c:pt>
                <c:pt idx="8">
                  <c:v>0.83899999999999997</c:v>
                </c:pt>
                <c:pt idx="9">
                  <c:v>0.83899999999999997</c:v>
                </c:pt>
                <c:pt idx="10">
                  <c:v>0.86</c:v>
                </c:pt>
                <c:pt idx="11">
                  <c:v>0.84099999999999997</c:v>
                </c:pt>
                <c:pt idx="12">
                  <c:v>0.84199999999999997</c:v>
                </c:pt>
                <c:pt idx="13">
                  <c:v>0.84299999999999997</c:v>
                </c:pt>
                <c:pt idx="14">
                  <c:v>0.84399999999999997</c:v>
                </c:pt>
                <c:pt idx="15">
                  <c:v>0.84499999999999997</c:v>
                </c:pt>
                <c:pt idx="16">
                  <c:v>0.84599999999999997</c:v>
                </c:pt>
                <c:pt idx="17">
                  <c:v>0.84799999999999998</c:v>
                </c:pt>
                <c:pt idx="18">
                  <c:v>0.85099999999999998</c:v>
                </c:pt>
                <c:pt idx="19">
                  <c:v>0.85399999999999998</c:v>
                </c:pt>
                <c:pt idx="20">
                  <c:v>0.85599999999999998</c:v>
                </c:pt>
                <c:pt idx="21">
                  <c:v>0.86099999999999999</c:v>
                </c:pt>
                <c:pt idx="22">
                  <c:v>0.86599999999999999</c:v>
                </c:pt>
                <c:pt idx="23">
                  <c:v>0.872</c:v>
                </c:pt>
                <c:pt idx="24">
                  <c:v>0.88</c:v>
                </c:pt>
                <c:pt idx="25">
                  <c:v>0.89</c:v>
                </c:pt>
                <c:pt idx="26">
                  <c:v>0.90300000000000002</c:v>
                </c:pt>
                <c:pt idx="27">
                  <c:v>0.92</c:v>
                </c:pt>
                <c:pt idx="28">
                  <c:v>0.94</c:v>
                </c:pt>
                <c:pt idx="29">
                  <c:v>0.96399999999999997</c:v>
                </c:pt>
                <c:pt idx="30">
                  <c:v>0.99199999999999999</c:v>
                </c:pt>
                <c:pt idx="31">
                  <c:v>1.022</c:v>
                </c:pt>
                <c:pt idx="32">
                  <c:v>1.0529999999999999</c:v>
                </c:pt>
                <c:pt idx="33">
                  <c:v>1.0880000000000001</c:v>
                </c:pt>
                <c:pt idx="34">
                  <c:v>1.123</c:v>
                </c:pt>
                <c:pt idx="35">
                  <c:v>1.1519999999999999</c:v>
                </c:pt>
                <c:pt idx="36">
                  <c:v>1.1870000000000001</c:v>
                </c:pt>
                <c:pt idx="37">
                  <c:v>1.2190000000000001</c:v>
                </c:pt>
                <c:pt idx="38">
                  <c:v>1.2350000000000001</c:v>
                </c:pt>
                <c:pt idx="39">
                  <c:v>1.27</c:v>
                </c:pt>
                <c:pt idx="40">
                  <c:v>1.3009999999999999</c:v>
                </c:pt>
                <c:pt idx="41">
                  <c:v>1.33</c:v>
                </c:pt>
                <c:pt idx="42">
                  <c:v>1.361</c:v>
                </c:pt>
                <c:pt idx="43">
                  <c:v>1.39</c:v>
                </c:pt>
                <c:pt idx="44">
                  <c:v>1.4159999999999999</c:v>
                </c:pt>
                <c:pt idx="45">
                  <c:v>1.44</c:v>
                </c:pt>
                <c:pt idx="46">
                  <c:v>1.462</c:v>
                </c:pt>
                <c:pt idx="47">
                  <c:v>1.482</c:v>
                </c:pt>
                <c:pt idx="48">
                  <c:v>1.528</c:v>
                </c:pt>
                <c:pt idx="49">
                  <c:v>1.542</c:v>
                </c:pt>
                <c:pt idx="50">
                  <c:v>1.5529999999999999</c:v>
                </c:pt>
                <c:pt idx="51">
                  <c:v>1.5589999999999999</c:v>
                </c:pt>
                <c:pt idx="52">
                  <c:v>1.5649999999999999</c:v>
                </c:pt>
                <c:pt idx="53">
                  <c:v>1.5680000000000001</c:v>
                </c:pt>
                <c:pt idx="54">
                  <c:v>1.57</c:v>
                </c:pt>
                <c:pt idx="55">
                  <c:v>1.57</c:v>
                </c:pt>
                <c:pt idx="56">
                  <c:v>1.57</c:v>
                </c:pt>
                <c:pt idx="57">
                  <c:v>1.552</c:v>
                </c:pt>
                <c:pt idx="58">
                  <c:v>1.546</c:v>
                </c:pt>
                <c:pt idx="59">
                  <c:v>1.5389999999999999</c:v>
                </c:pt>
                <c:pt idx="60">
                  <c:v>1.528</c:v>
                </c:pt>
                <c:pt idx="61">
                  <c:v>1.5049999999999999</c:v>
                </c:pt>
                <c:pt idx="62">
                  <c:v>1.49</c:v>
                </c:pt>
                <c:pt idx="63">
                  <c:v>1.4610000000000001</c:v>
                </c:pt>
                <c:pt idx="64">
                  <c:v>1.4610000000000001</c:v>
                </c:pt>
                <c:pt idx="65">
                  <c:v>1.444</c:v>
                </c:pt>
                <c:pt idx="66">
                  <c:v>1.42</c:v>
                </c:pt>
                <c:pt idx="67">
                  <c:v>1.397</c:v>
                </c:pt>
                <c:pt idx="68">
                  <c:v>1.373</c:v>
                </c:pt>
                <c:pt idx="69">
                  <c:v>1.3480000000000001</c:v>
                </c:pt>
                <c:pt idx="70">
                  <c:v>1.323</c:v>
                </c:pt>
                <c:pt idx="71">
                  <c:v>1.2969999999999999</c:v>
                </c:pt>
                <c:pt idx="72">
                  <c:v>1.272</c:v>
                </c:pt>
                <c:pt idx="73">
                  <c:v>1.246</c:v>
                </c:pt>
                <c:pt idx="74">
                  <c:v>1.2210000000000001</c:v>
                </c:pt>
                <c:pt idx="75">
                  <c:v>1.196</c:v>
                </c:pt>
                <c:pt idx="76">
                  <c:v>1.171</c:v>
                </c:pt>
                <c:pt idx="77">
                  <c:v>1.1439999999999999</c:v>
                </c:pt>
                <c:pt idx="78">
                  <c:v>1.1180000000000001</c:v>
                </c:pt>
                <c:pt idx="79">
                  <c:v>1.091</c:v>
                </c:pt>
                <c:pt idx="80">
                  <c:v>1.044</c:v>
                </c:pt>
                <c:pt idx="81">
                  <c:v>0.998</c:v>
                </c:pt>
                <c:pt idx="82">
                  <c:v>0.95099999999999996</c:v>
                </c:pt>
                <c:pt idx="83">
                  <c:v>0.91200000000000003</c:v>
                </c:pt>
                <c:pt idx="84">
                  <c:v>0.871</c:v>
                </c:pt>
                <c:pt idx="85">
                  <c:v>0.82299999999999995</c:v>
                </c:pt>
                <c:pt idx="86">
                  <c:v>0.78400000000000003</c:v>
                </c:pt>
                <c:pt idx="87">
                  <c:v>0.752</c:v>
                </c:pt>
                <c:pt idx="88">
                  <c:v>0.71299999999999997</c:v>
                </c:pt>
                <c:pt idx="89">
                  <c:v>0.68500000000000005</c:v>
                </c:pt>
                <c:pt idx="90">
                  <c:v>0.59699999999999998</c:v>
                </c:pt>
                <c:pt idx="91">
                  <c:v>0.53900000000000003</c:v>
                </c:pt>
                <c:pt idx="92">
                  <c:v>0.504</c:v>
                </c:pt>
                <c:pt idx="93">
                  <c:v>0.46700000000000003</c:v>
                </c:pt>
                <c:pt idx="94">
                  <c:v>0.436</c:v>
                </c:pt>
                <c:pt idx="95">
                  <c:v>0.41099999999999998</c:v>
                </c:pt>
                <c:pt idx="96">
                  <c:v>0.39100000000000001</c:v>
                </c:pt>
                <c:pt idx="97">
                  <c:v>0.36799999999999999</c:v>
                </c:pt>
                <c:pt idx="98">
                  <c:v>0.35</c:v>
                </c:pt>
                <c:pt idx="99">
                  <c:v>0.34</c:v>
                </c:pt>
                <c:pt idx="100">
                  <c:v>0.32900000000000001</c:v>
                </c:pt>
                <c:pt idx="101">
                  <c:v>0.318</c:v>
                </c:pt>
                <c:pt idx="102">
                  <c:v>0.30499999999999999</c:v>
                </c:pt>
                <c:pt idx="103">
                  <c:v>0.30299999999999999</c:v>
                </c:pt>
                <c:pt idx="104">
                  <c:v>0.29299999999999998</c:v>
                </c:pt>
                <c:pt idx="105">
                  <c:v>0.28399999999999997</c:v>
                </c:pt>
                <c:pt idx="106">
                  <c:v>0.27900000000000003</c:v>
                </c:pt>
                <c:pt idx="107">
                  <c:v>0.26900000000000002</c:v>
                </c:pt>
                <c:pt idx="108">
                  <c:v>0.26600000000000001</c:v>
                </c:pt>
                <c:pt idx="109">
                  <c:v>0.26100000000000001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42-47BC-821F-682A29F5B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970495"/>
        <c:axId val="809960895"/>
      </c:scatterChart>
      <c:valAx>
        <c:axId val="80997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60895"/>
        <c:crosses val="autoZero"/>
        <c:crossBetween val="midCat"/>
      </c:valAx>
      <c:valAx>
        <c:axId val="8099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7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'LCVR 654_SD'!$T$1</c:f>
              <c:strCache>
                <c:ptCount val="1"/>
                <c:pt idx="0">
                  <c:v>retardance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654_SD'!$S$2:$S$111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0.10606601717798211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0.28284271247461901</c:v>
                </c:pt>
                <c:pt idx="8">
                  <c:v>0.31819805153394637</c:v>
                </c:pt>
                <c:pt idx="9">
                  <c:v>0.35355339059327373</c:v>
                </c:pt>
                <c:pt idx="10">
                  <c:v>0.38890872965260115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0.49497474683058318</c:v>
                </c:pt>
                <c:pt idx="14">
                  <c:v>0.5303300858899106</c:v>
                </c:pt>
                <c:pt idx="15">
                  <c:v>0.56568542494923801</c:v>
                </c:pt>
                <c:pt idx="16">
                  <c:v>0.60104076400856532</c:v>
                </c:pt>
                <c:pt idx="17">
                  <c:v>0.63639610306789274</c:v>
                </c:pt>
                <c:pt idx="18">
                  <c:v>0.67175144212722004</c:v>
                </c:pt>
                <c:pt idx="19">
                  <c:v>0.70710678118654746</c:v>
                </c:pt>
                <c:pt idx="20">
                  <c:v>0.74246212024587488</c:v>
                </c:pt>
                <c:pt idx="21">
                  <c:v>0.7778174593052023</c:v>
                </c:pt>
                <c:pt idx="22">
                  <c:v>0.81317279836452949</c:v>
                </c:pt>
                <c:pt idx="23">
                  <c:v>0.84852813742385691</c:v>
                </c:pt>
                <c:pt idx="24">
                  <c:v>0.88388347648318433</c:v>
                </c:pt>
                <c:pt idx="25">
                  <c:v>0.91923881554251174</c:v>
                </c:pt>
                <c:pt idx="26">
                  <c:v>0.95459415460183916</c:v>
                </c:pt>
                <c:pt idx="27">
                  <c:v>0.98994949366116636</c:v>
                </c:pt>
                <c:pt idx="28">
                  <c:v>1.0253048327204939</c:v>
                </c:pt>
                <c:pt idx="29">
                  <c:v>1.0606601717798212</c:v>
                </c:pt>
                <c:pt idx="30">
                  <c:v>1.0960155108391487</c:v>
                </c:pt>
                <c:pt idx="31">
                  <c:v>1.131370849898476</c:v>
                </c:pt>
                <c:pt idx="32">
                  <c:v>1.1667261889578033</c:v>
                </c:pt>
                <c:pt idx="33">
                  <c:v>1.2020815280171306</c:v>
                </c:pt>
                <c:pt idx="34">
                  <c:v>1.2374368670764582</c:v>
                </c:pt>
                <c:pt idx="35">
                  <c:v>1.2727922061357855</c:v>
                </c:pt>
                <c:pt idx="36">
                  <c:v>1.308147545195113</c:v>
                </c:pt>
                <c:pt idx="37">
                  <c:v>1.3435028842544401</c:v>
                </c:pt>
                <c:pt idx="38">
                  <c:v>1.3788582233137676</c:v>
                </c:pt>
                <c:pt idx="39">
                  <c:v>1.4142135623730949</c:v>
                </c:pt>
                <c:pt idx="40">
                  <c:v>1.4495689014324222</c:v>
                </c:pt>
                <c:pt idx="41">
                  <c:v>1.4849242404917498</c:v>
                </c:pt>
                <c:pt idx="42">
                  <c:v>1.5202795795510771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1.6617009357883867</c:v>
                </c:pt>
                <c:pt idx="47">
                  <c:v>1.6970562748477138</c:v>
                </c:pt>
                <c:pt idx="48">
                  <c:v>1.7324116139070413</c:v>
                </c:pt>
                <c:pt idx="49">
                  <c:v>1.7677669529663687</c:v>
                </c:pt>
                <c:pt idx="50">
                  <c:v>1.803122292025696</c:v>
                </c:pt>
                <c:pt idx="51">
                  <c:v>1.8384776310850235</c:v>
                </c:pt>
                <c:pt idx="52">
                  <c:v>1.8738329701443508</c:v>
                </c:pt>
                <c:pt idx="53">
                  <c:v>1.9091883092036783</c:v>
                </c:pt>
                <c:pt idx="54">
                  <c:v>1.9445436482630056</c:v>
                </c:pt>
                <c:pt idx="55">
                  <c:v>1.9798989873223327</c:v>
                </c:pt>
                <c:pt idx="56">
                  <c:v>2.0152543263816605</c:v>
                </c:pt>
                <c:pt idx="57">
                  <c:v>2.0506096654409878</c:v>
                </c:pt>
                <c:pt idx="58">
                  <c:v>2.0859650045003151</c:v>
                </c:pt>
                <c:pt idx="59">
                  <c:v>2.1213203435596424</c:v>
                </c:pt>
                <c:pt idx="60">
                  <c:v>2.1566756826189697</c:v>
                </c:pt>
                <c:pt idx="61">
                  <c:v>2.1920310216782974</c:v>
                </c:pt>
                <c:pt idx="62">
                  <c:v>2.2273863607376243</c:v>
                </c:pt>
                <c:pt idx="63">
                  <c:v>2.2627416997969521</c:v>
                </c:pt>
                <c:pt idx="64">
                  <c:v>2.2980970388562794</c:v>
                </c:pt>
                <c:pt idx="65">
                  <c:v>2.3334523779156067</c:v>
                </c:pt>
                <c:pt idx="66">
                  <c:v>2.3723432508808666</c:v>
                </c:pt>
                <c:pt idx="67">
                  <c:v>2.4041630560342613</c:v>
                </c:pt>
                <c:pt idx="68">
                  <c:v>2.439518395093589</c:v>
                </c:pt>
                <c:pt idx="69">
                  <c:v>2.4748737341529163</c:v>
                </c:pt>
                <c:pt idx="70">
                  <c:v>2.5102290732122432</c:v>
                </c:pt>
                <c:pt idx="71">
                  <c:v>2.545584412271571</c:v>
                </c:pt>
                <c:pt idx="72">
                  <c:v>2.5809397513308983</c:v>
                </c:pt>
                <c:pt idx="73">
                  <c:v>2.616295090390226</c:v>
                </c:pt>
                <c:pt idx="74">
                  <c:v>2.6516504294495529</c:v>
                </c:pt>
                <c:pt idx="75">
                  <c:v>2.6870057685088802</c:v>
                </c:pt>
                <c:pt idx="76">
                  <c:v>2.7223611075682079</c:v>
                </c:pt>
                <c:pt idx="77">
                  <c:v>2.7577164466275352</c:v>
                </c:pt>
                <c:pt idx="78">
                  <c:v>2.7930717856868625</c:v>
                </c:pt>
                <c:pt idx="79">
                  <c:v>2.8284271247461898</c:v>
                </c:pt>
                <c:pt idx="80">
                  <c:v>2.8991378028648445</c:v>
                </c:pt>
                <c:pt idx="81">
                  <c:v>2.9698484809834995</c:v>
                </c:pt>
                <c:pt idx="82">
                  <c:v>3.0405591591021541</c:v>
                </c:pt>
                <c:pt idx="83">
                  <c:v>3.1112698372208092</c:v>
                </c:pt>
                <c:pt idx="84">
                  <c:v>3.1819805153394638</c:v>
                </c:pt>
                <c:pt idx="85">
                  <c:v>3.252691193458118</c:v>
                </c:pt>
                <c:pt idx="86">
                  <c:v>3.3234018715767735</c:v>
                </c:pt>
                <c:pt idx="87">
                  <c:v>3.3941125496954276</c:v>
                </c:pt>
                <c:pt idx="88">
                  <c:v>3.4648232278140827</c:v>
                </c:pt>
                <c:pt idx="89">
                  <c:v>3.5355339059327373</c:v>
                </c:pt>
                <c:pt idx="90">
                  <c:v>3.7123106012293743</c:v>
                </c:pt>
                <c:pt idx="91">
                  <c:v>3.8890872965260113</c:v>
                </c:pt>
                <c:pt idx="92">
                  <c:v>4.0658639918226482</c:v>
                </c:pt>
                <c:pt idx="93">
                  <c:v>4.2426406871192848</c:v>
                </c:pt>
                <c:pt idx="94">
                  <c:v>4.4194173824159213</c:v>
                </c:pt>
                <c:pt idx="95">
                  <c:v>4.5961940777125587</c:v>
                </c:pt>
                <c:pt idx="96">
                  <c:v>4.7729707730091953</c:v>
                </c:pt>
                <c:pt idx="97">
                  <c:v>4.9497474683058327</c:v>
                </c:pt>
                <c:pt idx="98">
                  <c:v>5.1265241636024692</c:v>
                </c:pt>
                <c:pt idx="99">
                  <c:v>5.3033008588991057</c:v>
                </c:pt>
                <c:pt idx="100">
                  <c:v>5.4800775541957432</c:v>
                </c:pt>
                <c:pt idx="101">
                  <c:v>5.6568542494923797</c:v>
                </c:pt>
                <c:pt idx="102">
                  <c:v>5.8336309447890171</c:v>
                </c:pt>
                <c:pt idx="103">
                  <c:v>6.0104076400856536</c:v>
                </c:pt>
                <c:pt idx="104">
                  <c:v>6.1871843353822902</c:v>
                </c:pt>
                <c:pt idx="105">
                  <c:v>6.3639610306789276</c:v>
                </c:pt>
                <c:pt idx="106">
                  <c:v>6.5407377259755641</c:v>
                </c:pt>
                <c:pt idx="107">
                  <c:v>6.7175144212722007</c:v>
                </c:pt>
                <c:pt idx="108">
                  <c:v>6.8942911165688381</c:v>
                </c:pt>
                <c:pt idx="109">
                  <c:v>7.0357124728061473</c:v>
                </c:pt>
              </c:numCache>
            </c:numRef>
          </c:xVal>
          <c:yVal>
            <c:numRef>
              <c:f>'LCVR 654_SD'!$T$2:$T$111</c:f>
              <c:numCache>
                <c:formatCode>General</c:formatCode>
                <c:ptCount val="110"/>
                <c:pt idx="0">
                  <c:v>1.6345337406395308</c:v>
                </c:pt>
                <c:pt idx="1">
                  <c:v>1.6358102702779092</c:v>
                </c:pt>
                <c:pt idx="2">
                  <c:v>1.6358102702779092</c:v>
                </c:pt>
                <c:pt idx="3">
                  <c:v>1.6370869060167323</c:v>
                </c:pt>
                <c:pt idx="4">
                  <c:v>1.6370869060167323</c:v>
                </c:pt>
                <c:pt idx="5">
                  <c:v>1.6383636499636449</c:v>
                </c:pt>
                <c:pt idx="6">
                  <c:v>1.6370869060167323</c:v>
                </c:pt>
                <c:pt idx="7">
                  <c:v>1.6383636499636449</c:v>
                </c:pt>
                <c:pt idx="8">
                  <c:v>1.639640504227891</c:v>
                </c:pt>
                <c:pt idx="9">
                  <c:v>1.639640504227891</c:v>
                </c:pt>
                <c:pt idx="10">
                  <c:v>1.6664836812509878</c:v>
                </c:pt>
                <c:pt idx="11">
                  <c:v>1.6421945521535446</c:v>
                </c:pt>
                <c:pt idx="12">
                  <c:v>1.6434717500417222</c:v>
                </c:pt>
                <c:pt idx="13">
                  <c:v>1.6447490667008378</c:v>
                </c:pt>
                <c:pt idx="14">
                  <c:v>1.6460265042486097</c:v>
                </c:pt>
                <c:pt idx="15">
                  <c:v>1.6473040648045492</c:v>
                </c:pt>
                <c:pt idx="16">
                  <c:v>1.6485817504899898</c:v>
                </c:pt>
                <c:pt idx="17">
                  <c:v>1.6511375057440261</c:v>
                </c:pt>
                <c:pt idx="18">
                  <c:v>1.6549721302381748</c:v>
                </c:pt>
                <c:pt idx="19">
                  <c:v>1.6588079958232973</c:v>
                </c:pt>
                <c:pt idx="20">
                  <c:v>1.6613659575297044</c:v>
                </c:pt>
                <c:pt idx="21">
                  <c:v>1.6677634997791602</c:v>
                </c:pt>
                <c:pt idx="22">
                  <c:v>1.6741650257877385</c:v>
                </c:pt>
                <c:pt idx="23">
                  <c:v>1.6818524962437977</c:v>
                </c:pt>
                <c:pt idx="24">
                  <c:v>1.69211279913229</c:v>
                </c:pt>
                <c:pt idx="25">
                  <c:v>1.7049563825760206</c:v>
                </c:pt>
                <c:pt idx="26">
                  <c:v>1.7216867232048032</c:v>
                </c:pt>
                <c:pt idx="27">
                  <c:v>1.7436300315296105</c:v>
                </c:pt>
                <c:pt idx="28">
                  <c:v>1.7695546268125768</c:v>
                </c:pt>
                <c:pt idx="29">
                  <c:v>1.8008455782105621</c:v>
                </c:pt>
                <c:pt idx="30">
                  <c:v>1.8376463552524229</c:v>
                </c:pt>
                <c:pt idx="31">
                  <c:v>1.8774927055113828</c:v>
                </c:pt>
                <c:pt idx="32">
                  <c:v>1.9192036689584859</c:v>
                </c:pt>
                <c:pt idx="33">
                  <c:v>1.9670741070675</c:v>
                </c:pt>
                <c:pt idx="34">
                  <c:v>2.0159241467153421</c:v>
                </c:pt>
                <c:pt idx="35">
                  <c:v>2.0572749198274263</c:v>
                </c:pt>
                <c:pt idx="36">
                  <c:v>2.1084264790449279</c:v>
                </c:pt>
                <c:pt idx="37">
                  <c:v>2.1565964069780459</c:v>
                </c:pt>
                <c:pt idx="38">
                  <c:v>2.1812611719981554</c:v>
                </c:pt>
                <c:pt idx="39">
                  <c:v>2.2367818973234832</c:v>
                </c:pt>
                <c:pt idx="40">
                  <c:v>2.2880597624114403</c:v>
                </c:pt>
                <c:pt idx="41">
                  <c:v>2.3381979883770985</c:v>
                </c:pt>
                <c:pt idx="42">
                  <c:v>2.3946330881664015</c:v>
                </c:pt>
                <c:pt idx="43">
                  <c:v>2.4507363087465879</c:v>
                </c:pt>
                <c:pt idx="44">
                  <c:v>2.5044882940128095</c:v>
                </c:pt>
                <c:pt idx="45">
                  <c:v>2.557830353866982</c:v>
                </c:pt>
                <c:pt idx="46">
                  <c:v>2.610828240494933</c:v>
                </c:pt>
                <c:pt idx="47">
                  <c:v>2.6635521830381514</c:v>
                </c:pt>
                <c:pt idx="48">
                  <c:v>2.8129980415768472</c:v>
                </c:pt>
                <c:pt idx="49">
                  <c:v>2.8737013551768253</c:v>
                </c:pt>
                <c:pt idx="50">
                  <c:v>2.9330996340142104</c:v>
                </c:pt>
                <c:pt idx="51">
                  <c:v>2.9739884302687454</c:v>
                </c:pt>
                <c:pt idx="52">
                  <c:v>3.028666130050345</c:v>
                </c:pt>
                <c:pt idx="53">
                  <c:v>3.0701944282311455</c:v>
                </c:pt>
                <c:pt idx="54">
                  <c:v>3.1415926535897931</c:v>
                </c:pt>
                <c:pt idx="55">
                  <c:v>3.1415926535897931</c:v>
                </c:pt>
                <c:pt idx="56">
                  <c:v>3.1415926535897931</c:v>
                </c:pt>
                <c:pt idx="57">
                  <c:v>2.9270321425629504</c:v>
                </c:pt>
                <c:pt idx="58">
                  <c:v>2.8936800948432597</c:v>
                </c:pt>
                <c:pt idx="59">
                  <c:v>2.859624094695369</c:v>
                </c:pt>
                <c:pt idx="60">
                  <c:v>2.8129980415768472</c:v>
                </c:pt>
                <c:pt idx="61">
                  <c:v>2.7317849380203825</c:v>
                </c:pt>
                <c:pt idx="62">
                  <c:v>2.6862017495845874</c:v>
                </c:pt>
                <c:pt idx="63">
                  <c:v>2.60831700857364</c:v>
                </c:pt>
                <c:pt idx="64">
                  <c:v>2.60831700857364</c:v>
                </c:pt>
                <c:pt idx="65">
                  <c:v>2.5671411099880515</c:v>
                </c:pt>
                <c:pt idx="66">
                  <c:v>2.5131043580387877</c:v>
                </c:pt>
                <c:pt idx="67">
                  <c:v>2.464851672965231</c:v>
                </c:pt>
                <c:pt idx="68">
                  <c:v>2.4174151360254177</c:v>
                </c:pt>
                <c:pt idx="69">
                  <c:v>2.3705686555557959</c:v>
                </c:pt>
                <c:pt idx="70">
                  <c:v>2.3258809824018862</c:v>
                </c:pt>
                <c:pt idx="71">
                  <c:v>2.2813179999801632</c:v>
                </c:pt>
                <c:pt idx="72">
                  <c:v>2.2400262060284373</c:v>
                </c:pt>
                <c:pt idx="73">
                  <c:v>2.1984671794642527</c:v>
                </c:pt>
                <c:pt idx="74">
                  <c:v>2.1596570765998226</c:v>
                </c:pt>
                <c:pt idx="75">
                  <c:v>2.1218284714416784</c:v>
                </c:pt>
                <c:pt idx="76">
                  <c:v>2.0848599889378763</c:v>
                </c:pt>
                <c:pt idx="77">
                  <c:v>2.0457810265897298</c:v>
                </c:pt>
                <c:pt idx="78">
                  <c:v>2.0088788266727131</c:v>
                </c:pt>
                <c:pt idx="79">
                  <c:v>1.9712204137136151</c:v>
                </c:pt>
                <c:pt idx="80">
                  <c:v>1.9070324286406588</c:v>
                </c:pt>
                <c:pt idx="81">
                  <c:v>1.8455788024448758</c:v>
                </c:pt>
                <c:pt idx="82">
                  <c:v>1.7838699082573533</c:v>
                </c:pt>
                <c:pt idx="83">
                  <c:v>1.733293960732414</c:v>
                </c:pt>
                <c:pt idx="84">
                  <c:v>1.6805708058483462</c:v>
                </c:pt>
                <c:pt idx="85">
                  <c:v>1.6192228956750645</c:v>
                </c:pt>
                <c:pt idx="86">
                  <c:v>1.5695224411000377</c:v>
                </c:pt>
                <c:pt idx="87">
                  <c:v>1.5287457186398126</c:v>
                </c:pt>
                <c:pt idx="88">
                  <c:v>1.478947493387841</c:v>
                </c:pt>
                <c:pt idx="89">
                  <c:v>1.4430607110714397</c:v>
                </c:pt>
                <c:pt idx="90">
                  <c:v>1.3289553370415299</c:v>
                </c:pt>
                <c:pt idx="91">
                  <c:v>1.2520505123463033</c:v>
                </c:pt>
                <c:pt idx="92">
                  <c:v>1.2047122103578745</c:v>
                </c:pt>
                <c:pt idx="93">
                  <c:v>1.1537129988885644</c:v>
                </c:pt>
                <c:pt idx="94">
                  <c:v>1.1100843228878281</c:v>
                </c:pt>
                <c:pt idx="95">
                  <c:v>1.074203005008658</c:v>
                </c:pt>
                <c:pt idx="96">
                  <c:v>1.0449897080861885</c:v>
                </c:pt>
                <c:pt idx="97">
                  <c:v>1.0107680078451418</c:v>
                </c:pt>
                <c:pt idx="98">
                  <c:v>0.98346669130562514</c:v>
                </c:pt>
                <c:pt idx="99">
                  <c:v>0.96808399114541721</c:v>
                </c:pt>
                <c:pt idx="100">
                  <c:v>0.95097255921485369</c:v>
                </c:pt>
                <c:pt idx="101">
                  <c:v>0.93364954600936834</c:v>
                </c:pt>
                <c:pt idx="102">
                  <c:v>0.91288564710597175</c:v>
                </c:pt>
                <c:pt idx="103">
                  <c:v>0.90966178187637792</c:v>
                </c:pt>
                <c:pt idx="104">
                  <c:v>0.89341893880644385</c:v>
                </c:pt>
                <c:pt idx="105">
                  <c:v>0.87861687774721686</c:v>
                </c:pt>
                <c:pt idx="106">
                  <c:v>0.87031469180648013</c:v>
                </c:pt>
                <c:pt idx="107">
                  <c:v>0.85353289117835307</c:v>
                </c:pt>
                <c:pt idx="108">
                  <c:v>0.84845045374709482</c:v>
                </c:pt>
                <c:pt idx="109">
                  <c:v>0.83992869144804272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C7-438B-9A81-C74786D71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959455"/>
        <c:axId val="809962335"/>
      </c:scatterChart>
      <c:valAx>
        <c:axId val="80995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62335"/>
        <c:crosses val="autoZero"/>
        <c:crossBetween val="midCat"/>
      </c:valAx>
      <c:valAx>
        <c:axId val="8099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5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Retardance plot</a:t>
            </a:r>
            <a:r>
              <a:rPr lang="en-US" baseline="0"/>
              <a:t> at 654mm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'LCVR 654_SD'!$W$1</c:f>
              <c:strCache>
                <c:ptCount val="1"/>
                <c:pt idx="0">
                  <c:v>Intensity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'LCVR 654_SD'!$V$2:$V$111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0.10606601717798211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0.28284271247461901</c:v>
                </c:pt>
                <c:pt idx="8">
                  <c:v>0.31819805153394637</c:v>
                </c:pt>
                <c:pt idx="9">
                  <c:v>0.35355339059327373</c:v>
                </c:pt>
                <c:pt idx="10">
                  <c:v>0.38890872965260115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0.49497474683058318</c:v>
                </c:pt>
                <c:pt idx="14">
                  <c:v>0.5303300858899106</c:v>
                </c:pt>
                <c:pt idx="15">
                  <c:v>0.56568542494923801</c:v>
                </c:pt>
                <c:pt idx="16">
                  <c:v>0.60104076400856532</c:v>
                </c:pt>
                <c:pt idx="17">
                  <c:v>0.63639610306789274</c:v>
                </c:pt>
                <c:pt idx="18">
                  <c:v>0.67175144212722004</c:v>
                </c:pt>
                <c:pt idx="19">
                  <c:v>0.70710678118654746</c:v>
                </c:pt>
                <c:pt idx="20">
                  <c:v>0.74246212024587488</c:v>
                </c:pt>
                <c:pt idx="21">
                  <c:v>0.7778174593052023</c:v>
                </c:pt>
                <c:pt idx="22">
                  <c:v>0.81317279836452949</c:v>
                </c:pt>
                <c:pt idx="23">
                  <c:v>0.84852813742385691</c:v>
                </c:pt>
                <c:pt idx="24">
                  <c:v>0.88388347648318433</c:v>
                </c:pt>
                <c:pt idx="25">
                  <c:v>0.91923881554251174</c:v>
                </c:pt>
                <c:pt idx="26">
                  <c:v>0.95459415460183916</c:v>
                </c:pt>
                <c:pt idx="27">
                  <c:v>0.98994949366116636</c:v>
                </c:pt>
                <c:pt idx="28">
                  <c:v>1.0253048327204939</c:v>
                </c:pt>
                <c:pt idx="29">
                  <c:v>1.0606601717798212</c:v>
                </c:pt>
                <c:pt idx="30">
                  <c:v>1.0960155108391487</c:v>
                </c:pt>
                <c:pt idx="31">
                  <c:v>1.131370849898476</c:v>
                </c:pt>
                <c:pt idx="32">
                  <c:v>1.1667261889578033</c:v>
                </c:pt>
                <c:pt idx="33">
                  <c:v>1.2020815280171306</c:v>
                </c:pt>
                <c:pt idx="34">
                  <c:v>1.2374368670764582</c:v>
                </c:pt>
                <c:pt idx="35">
                  <c:v>1.2727922061357855</c:v>
                </c:pt>
                <c:pt idx="36">
                  <c:v>1.308147545195113</c:v>
                </c:pt>
                <c:pt idx="37">
                  <c:v>1.3435028842544401</c:v>
                </c:pt>
                <c:pt idx="38">
                  <c:v>1.3788582233137676</c:v>
                </c:pt>
                <c:pt idx="39">
                  <c:v>1.4142135623730949</c:v>
                </c:pt>
                <c:pt idx="40">
                  <c:v>1.4495689014324222</c:v>
                </c:pt>
                <c:pt idx="41">
                  <c:v>1.4849242404917498</c:v>
                </c:pt>
                <c:pt idx="42">
                  <c:v>1.5202795795510771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1.6617009357883867</c:v>
                </c:pt>
                <c:pt idx="47">
                  <c:v>1.6970562748477138</c:v>
                </c:pt>
                <c:pt idx="48">
                  <c:v>1.7324116139070413</c:v>
                </c:pt>
                <c:pt idx="49">
                  <c:v>1.7677669529663687</c:v>
                </c:pt>
                <c:pt idx="50">
                  <c:v>1.803122292025696</c:v>
                </c:pt>
                <c:pt idx="51">
                  <c:v>1.8384776310850235</c:v>
                </c:pt>
                <c:pt idx="52">
                  <c:v>1.8738329701443508</c:v>
                </c:pt>
                <c:pt idx="53">
                  <c:v>1.9091883092036783</c:v>
                </c:pt>
                <c:pt idx="54">
                  <c:v>1.9445436482630056</c:v>
                </c:pt>
                <c:pt idx="55">
                  <c:v>1.9798989873223327</c:v>
                </c:pt>
                <c:pt idx="56">
                  <c:v>2.0152543263816605</c:v>
                </c:pt>
                <c:pt idx="57">
                  <c:v>2.0506096654409878</c:v>
                </c:pt>
                <c:pt idx="58">
                  <c:v>2.0859650045003151</c:v>
                </c:pt>
                <c:pt idx="59">
                  <c:v>2.1213203435596424</c:v>
                </c:pt>
                <c:pt idx="60">
                  <c:v>2.1566756826189697</c:v>
                </c:pt>
                <c:pt idx="61">
                  <c:v>2.1920310216782974</c:v>
                </c:pt>
                <c:pt idx="62">
                  <c:v>2.2273863607376243</c:v>
                </c:pt>
                <c:pt idx="63">
                  <c:v>2.2627416997969521</c:v>
                </c:pt>
                <c:pt idx="64">
                  <c:v>2.2980970388562794</c:v>
                </c:pt>
                <c:pt idx="65">
                  <c:v>2.3334523779156067</c:v>
                </c:pt>
                <c:pt idx="66">
                  <c:v>2.3723432508808666</c:v>
                </c:pt>
                <c:pt idx="67">
                  <c:v>2.4041630560342613</c:v>
                </c:pt>
                <c:pt idx="68">
                  <c:v>2.439518395093589</c:v>
                </c:pt>
                <c:pt idx="69">
                  <c:v>2.4748737341529163</c:v>
                </c:pt>
                <c:pt idx="70">
                  <c:v>2.5102290732122432</c:v>
                </c:pt>
                <c:pt idx="71">
                  <c:v>2.545584412271571</c:v>
                </c:pt>
                <c:pt idx="72">
                  <c:v>2.5809397513308983</c:v>
                </c:pt>
                <c:pt idx="73">
                  <c:v>2.616295090390226</c:v>
                </c:pt>
                <c:pt idx="74">
                  <c:v>2.6516504294495529</c:v>
                </c:pt>
                <c:pt idx="75">
                  <c:v>2.6870057685088802</c:v>
                </c:pt>
                <c:pt idx="76">
                  <c:v>2.7223611075682079</c:v>
                </c:pt>
                <c:pt idx="77">
                  <c:v>2.7577164466275352</c:v>
                </c:pt>
                <c:pt idx="78">
                  <c:v>2.7930717856868625</c:v>
                </c:pt>
                <c:pt idx="79">
                  <c:v>2.8284271247461898</c:v>
                </c:pt>
                <c:pt idx="80">
                  <c:v>2.8991378028648445</c:v>
                </c:pt>
                <c:pt idx="81">
                  <c:v>2.9698484809834995</c:v>
                </c:pt>
                <c:pt idx="82">
                  <c:v>3.0405591591021541</c:v>
                </c:pt>
                <c:pt idx="83">
                  <c:v>3.1112698372208092</c:v>
                </c:pt>
                <c:pt idx="84">
                  <c:v>3.1819805153394638</c:v>
                </c:pt>
                <c:pt idx="85">
                  <c:v>3.252691193458118</c:v>
                </c:pt>
                <c:pt idx="86">
                  <c:v>3.3234018715767735</c:v>
                </c:pt>
                <c:pt idx="87">
                  <c:v>3.3941125496954276</c:v>
                </c:pt>
                <c:pt idx="88">
                  <c:v>3.4648232278140827</c:v>
                </c:pt>
                <c:pt idx="89">
                  <c:v>3.5355339059327373</c:v>
                </c:pt>
                <c:pt idx="90">
                  <c:v>3.7123106012293743</c:v>
                </c:pt>
                <c:pt idx="91">
                  <c:v>3.8890872965260113</c:v>
                </c:pt>
                <c:pt idx="92">
                  <c:v>4.0658639918226482</c:v>
                </c:pt>
                <c:pt idx="93">
                  <c:v>4.2426406871192848</c:v>
                </c:pt>
                <c:pt idx="94">
                  <c:v>4.4194173824159213</c:v>
                </c:pt>
                <c:pt idx="95">
                  <c:v>4.5961940777125587</c:v>
                </c:pt>
                <c:pt idx="96">
                  <c:v>4.7729707730091953</c:v>
                </c:pt>
                <c:pt idx="97">
                  <c:v>4.9497474683058327</c:v>
                </c:pt>
                <c:pt idx="98">
                  <c:v>5.1265241636024692</c:v>
                </c:pt>
                <c:pt idx="99">
                  <c:v>5.3033008588991057</c:v>
                </c:pt>
                <c:pt idx="100">
                  <c:v>5.4800775541957432</c:v>
                </c:pt>
                <c:pt idx="101">
                  <c:v>5.6568542494923797</c:v>
                </c:pt>
                <c:pt idx="102">
                  <c:v>5.8336309447890171</c:v>
                </c:pt>
                <c:pt idx="103">
                  <c:v>6.0104076400856536</c:v>
                </c:pt>
                <c:pt idx="104">
                  <c:v>6.1871843353822902</c:v>
                </c:pt>
                <c:pt idx="105">
                  <c:v>6.3639610306789276</c:v>
                </c:pt>
                <c:pt idx="106">
                  <c:v>6.5407377259755641</c:v>
                </c:pt>
                <c:pt idx="107">
                  <c:v>6.7175144212722007</c:v>
                </c:pt>
                <c:pt idx="108">
                  <c:v>6.8942911165688381</c:v>
                </c:pt>
                <c:pt idx="109">
                  <c:v>7.0357124728061473</c:v>
                </c:pt>
              </c:numCache>
            </c:numRef>
          </c:xVal>
          <c:yVal>
            <c:numRef>
              <c:f>'LCVR 654_SD'!$W$2:$W$111</c:f>
              <c:numCache>
                <c:formatCode>General</c:formatCode>
                <c:ptCount val="110"/>
                <c:pt idx="0">
                  <c:v>0.83499999999999996</c:v>
                </c:pt>
                <c:pt idx="1">
                  <c:v>0.83599999999999997</c:v>
                </c:pt>
                <c:pt idx="2">
                  <c:v>0.83599999999999997</c:v>
                </c:pt>
                <c:pt idx="3">
                  <c:v>0.83699999999999997</c:v>
                </c:pt>
                <c:pt idx="4">
                  <c:v>0.83699999999999997</c:v>
                </c:pt>
                <c:pt idx="5">
                  <c:v>0.83799999999999997</c:v>
                </c:pt>
                <c:pt idx="6">
                  <c:v>0.83699999999999997</c:v>
                </c:pt>
                <c:pt idx="7">
                  <c:v>0.83799999999999997</c:v>
                </c:pt>
                <c:pt idx="8">
                  <c:v>0.83899999999999997</c:v>
                </c:pt>
                <c:pt idx="9">
                  <c:v>0.83899999999999997</c:v>
                </c:pt>
                <c:pt idx="10">
                  <c:v>0.86</c:v>
                </c:pt>
                <c:pt idx="11">
                  <c:v>0.84099999999999997</c:v>
                </c:pt>
                <c:pt idx="12">
                  <c:v>0.84199999999999997</c:v>
                </c:pt>
                <c:pt idx="13">
                  <c:v>0.84299999999999997</c:v>
                </c:pt>
                <c:pt idx="14">
                  <c:v>0.84399999999999997</c:v>
                </c:pt>
                <c:pt idx="15">
                  <c:v>0.84499999999999997</c:v>
                </c:pt>
                <c:pt idx="16">
                  <c:v>0.84599999999999997</c:v>
                </c:pt>
                <c:pt idx="17">
                  <c:v>0.84799999999999998</c:v>
                </c:pt>
                <c:pt idx="18">
                  <c:v>0.85099999999999998</c:v>
                </c:pt>
                <c:pt idx="19">
                  <c:v>0.85399999999999998</c:v>
                </c:pt>
                <c:pt idx="20">
                  <c:v>0.85599999999999998</c:v>
                </c:pt>
                <c:pt idx="21">
                  <c:v>0.86099999999999999</c:v>
                </c:pt>
                <c:pt idx="22">
                  <c:v>0.86599999999999999</c:v>
                </c:pt>
                <c:pt idx="23">
                  <c:v>0.872</c:v>
                </c:pt>
                <c:pt idx="24">
                  <c:v>0.88</c:v>
                </c:pt>
                <c:pt idx="25">
                  <c:v>0.89</c:v>
                </c:pt>
                <c:pt idx="26">
                  <c:v>0.90300000000000002</c:v>
                </c:pt>
                <c:pt idx="27">
                  <c:v>0.92</c:v>
                </c:pt>
                <c:pt idx="28">
                  <c:v>0.94</c:v>
                </c:pt>
                <c:pt idx="29">
                  <c:v>0.96399999999999997</c:v>
                </c:pt>
                <c:pt idx="30">
                  <c:v>0.99199999999999999</c:v>
                </c:pt>
                <c:pt idx="31">
                  <c:v>1.022</c:v>
                </c:pt>
                <c:pt idx="32">
                  <c:v>1.0529999999999999</c:v>
                </c:pt>
                <c:pt idx="33">
                  <c:v>1.0880000000000001</c:v>
                </c:pt>
                <c:pt idx="34">
                  <c:v>1.123</c:v>
                </c:pt>
                <c:pt idx="35">
                  <c:v>1.1519999999999999</c:v>
                </c:pt>
                <c:pt idx="36">
                  <c:v>1.1870000000000001</c:v>
                </c:pt>
                <c:pt idx="37">
                  <c:v>1.2190000000000001</c:v>
                </c:pt>
                <c:pt idx="38">
                  <c:v>1.2350000000000001</c:v>
                </c:pt>
                <c:pt idx="39">
                  <c:v>1.27</c:v>
                </c:pt>
                <c:pt idx="40">
                  <c:v>1.3009999999999999</c:v>
                </c:pt>
                <c:pt idx="41">
                  <c:v>1.33</c:v>
                </c:pt>
                <c:pt idx="42">
                  <c:v>1.361</c:v>
                </c:pt>
                <c:pt idx="43">
                  <c:v>1.39</c:v>
                </c:pt>
                <c:pt idx="44">
                  <c:v>1.4159999999999999</c:v>
                </c:pt>
                <c:pt idx="45">
                  <c:v>1.44</c:v>
                </c:pt>
                <c:pt idx="46">
                  <c:v>1.462</c:v>
                </c:pt>
                <c:pt idx="47">
                  <c:v>1.482</c:v>
                </c:pt>
                <c:pt idx="48">
                  <c:v>1.528</c:v>
                </c:pt>
                <c:pt idx="49">
                  <c:v>1.542</c:v>
                </c:pt>
                <c:pt idx="50">
                  <c:v>1.5529999999999999</c:v>
                </c:pt>
                <c:pt idx="51">
                  <c:v>1.5589999999999999</c:v>
                </c:pt>
                <c:pt idx="52">
                  <c:v>1.5649999999999999</c:v>
                </c:pt>
                <c:pt idx="53">
                  <c:v>1.5680000000000001</c:v>
                </c:pt>
                <c:pt idx="54">
                  <c:v>1.57</c:v>
                </c:pt>
                <c:pt idx="55">
                  <c:v>1.57</c:v>
                </c:pt>
                <c:pt idx="56">
                  <c:v>1.57</c:v>
                </c:pt>
                <c:pt idx="57">
                  <c:v>1.552</c:v>
                </c:pt>
                <c:pt idx="58">
                  <c:v>1.546</c:v>
                </c:pt>
                <c:pt idx="59">
                  <c:v>1.5389999999999999</c:v>
                </c:pt>
                <c:pt idx="60">
                  <c:v>1.528</c:v>
                </c:pt>
                <c:pt idx="61">
                  <c:v>1.5049999999999999</c:v>
                </c:pt>
                <c:pt idx="62">
                  <c:v>1.49</c:v>
                </c:pt>
                <c:pt idx="63">
                  <c:v>1.4610000000000001</c:v>
                </c:pt>
                <c:pt idx="64">
                  <c:v>1.4610000000000001</c:v>
                </c:pt>
                <c:pt idx="65">
                  <c:v>1.444</c:v>
                </c:pt>
                <c:pt idx="66">
                  <c:v>1.42</c:v>
                </c:pt>
                <c:pt idx="67">
                  <c:v>1.397</c:v>
                </c:pt>
                <c:pt idx="68">
                  <c:v>1.373</c:v>
                </c:pt>
                <c:pt idx="69">
                  <c:v>1.3480000000000001</c:v>
                </c:pt>
                <c:pt idx="70">
                  <c:v>1.323</c:v>
                </c:pt>
                <c:pt idx="71">
                  <c:v>1.2969999999999999</c:v>
                </c:pt>
                <c:pt idx="72">
                  <c:v>1.272</c:v>
                </c:pt>
                <c:pt idx="73">
                  <c:v>1.246</c:v>
                </c:pt>
                <c:pt idx="74">
                  <c:v>1.2210000000000001</c:v>
                </c:pt>
                <c:pt idx="75">
                  <c:v>1.196</c:v>
                </c:pt>
                <c:pt idx="76">
                  <c:v>1.171</c:v>
                </c:pt>
                <c:pt idx="77">
                  <c:v>1.1439999999999999</c:v>
                </c:pt>
                <c:pt idx="78">
                  <c:v>1.1180000000000001</c:v>
                </c:pt>
                <c:pt idx="79">
                  <c:v>1.091</c:v>
                </c:pt>
                <c:pt idx="80">
                  <c:v>1.044</c:v>
                </c:pt>
                <c:pt idx="81">
                  <c:v>0.998</c:v>
                </c:pt>
                <c:pt idx="82">
                  <c:v>0.95099999999999996</c:v>
                </c:pt>
                <c:pt idx="83">
                  <c:v>0.91200000000000003</c:v>
                </c:pt>
                <c:pt idx="84">
                  <c:v>0.871</c:v>
                </c:pt>
                <c:pt idx="85">
                  <c:v>0.82299999999999995</c:v>
                </c:pt>
                <c:pt idx="86">
                  <c:v>0.78400000000000003</c:v>
                </c:pt>
                <c:pt idx="87">
                  <c:v>0.752</c:v>
                </c:pt>
                <c:pt idx="88">
                  <c:v>0.71299999999999997</c:v>
                </c:pt>
                <c:pt idx="89">
                  <c:v>0.68500000000000005</c:v>
                </c:pt>
                <c:pt idx="90">
                  <c:v>0.59699999999999998</c:v>
                </c:pt>
                <c:pt idx="91">
                  <c:v>0.53900000000000003</c:v>
                </c:pt>
                <c:pt idx="92">
                  <c:v>0.504</c:v>
                </c:pt>
                <c:pt idx="93">
                  <c:v>0.46700000000000003</c:v>
                </c:pt>
                <c:pt idx="94">
                  <c:v>0.436</c:v>
                </c:pt>
                <c:pt idx="95">
                  <c:v>0.41099999999999998</c:v>
                </c:pt>
                <c:pt idx="96">
                  <c:v>0.39100000000000001</c:v>
                </c:pt>
                <c:pt idx="97">
                  <c:v>0.36799999999999999</c:v>
                </c:pt>
                <c:pt idx="98">
                  <c:v>0.35</c:v>
                </c:pt>
                <c:pt idx="99">
                  <c:v>0.34</c:v>
                </c:pt>
                <c:pt idx="100">
                  <c:v>0.32900000000000001</c:v>
                </c:pt>
                <c:pt idx="101">
                  <c:v>0.318</c:v>
                </c:pt>
                <c:pt idx="102">
                  <c:v>0.30499999999999999</c:v>
                </c:pt>
                <c:pt idx="103">
                  <c:v>0.30299999999999999</c:v>
                </c:pt>
                <c:pt idx="104">
                  <c:v>0.29299999999999998</c:v>
                </c:pt>
                <c:pt idx="105">
                  <c:v>0.28399999999999997</c:v>
                </c:pt>
                <c:pt idx="106">
                  <c:v>0.27900000000000003</c:v>
                </c:pt>
                <c:pt idx="107">
                  <c:v>0.26900000000000002</c:v>
                </c:pt>
                <c:pt idx="108">
                  <c:v>0.26600000000000001</c:v>
                </c:pt>
                <c:pt idx="109">
                  <c:v>0.26100000000000001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F3-4E6A-A740-88172977466F}"/>
            </c:ext>
          </c:extLst>
        </c:ser>
        <c:ser>
          <c:idx val="1"/>
          <c:order val="1"/>
          <c:tx>
            <c:strRef>
              <c:f>'LCVR 654_SD'!$X$1</c:f>
              <c:strCache>
                <c:ptCount val="1"/>
                <c:pt idx="0">
                  <c:v>retardance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'LCVR 654_SD'!$V$2:$V$111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0.10606601717798211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0.28284271247461901</c:v>
                </c:pt>
                <c:pt idx="8">
                  <c:v>0.31819805153394637</c:v>
                </c:pt>
                <c:pt idx="9">
                  <c:v>0.35355339059327373</c:v>
                </c:pt>
                <c:pt idx="10">
                  <c:v>0.38890872965260115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0.49497474683058318</c:v>
                </c:pt>
                <c:pt idx="14">
                  <c:v>0.5303300858899106</c:v>
                </c:pt>
                <c:pt idx="15">
                  <c:v>0.56568542494923801</c:v>
                </c:pt>
                <c:pt idx="16">
                  <c:v>0.60104076400856532</c:v>
                </c:pt>
                <c:pt idx="17">
                  <c:v>0.63639610306789274</c:v>
                </c:pt>
                <c:pt idx="18">
                  <c:v>0.67175144212722004</c:v>
                </c:pt>
                <c:pt idx="19">
                  <c:v>0.70710678118654746</c:v>
                </c:pt>
                <c:pt idx="20">
                  <c:v>0.74246212024587488</c:v>
                </c:pt>
                <c:pt idx="21">
                  <c:v>0.7778174593052023</c:v>
                </c:pt>
                <c:pt idx="22">
                  <c:v>0.81317279836452949</c:v>
                </c:pt>
                <c:pt idx="23">
                  <c:v>0.84852813742385691</c:v>
                </c:pt>
                <c:pt idx="24">
                  <c:v>0.88388347648318433</c:v>
                </c:pt>
                <c:pt idx="25">
                  <c:v>0.91923881554251174</c:v>
                </c:pt>
                <c:pt idx="26">
                  <c:v>0.95459415460183916</c:v>
                </c:pt>
                <c:pt idx="27">
                  <c:v>0.98994949366116636</c:v>
                </c:pt>
                <c:pt idx="28">
                  <c:v>1.0253048327204939</c:v>
                </c:pt>
                <c:pt idx="29">
                  <c:v>1.0606601717798212</c:v>
                </c:pt>
                <c:pt idx="30">
                  <c:v>1.0960155108391487</c:v>
                </c:pt>
                <c:pt idx="31">
                  <c:v>1.131370849898476</c:v>
                </c:pt>
                <c:pt idx="32">
                  <c:v>1.1667261889578033</c:v>
                </c:pt>
                <c:pt idx="33">
                  <c:v>1.2020815280171306</c:v>
                </c:pt>
                <c:pt idx="34">
                  <c:v>1.2374368670764582</c:v>
                </c:pt>
                <c:pt idx="35">
                  <c:v>1.2727922061357855</c:v>
                </c:pt>
                <c:pt idx="36">
                  <c:v>1.308147545195113</c:v>
                </c:pt>
                <c:pt idx="37">
                  <c:v>1.3435028842544401</c:v>
                </c:pt>
                <c:pt idx="38">
                  <c:v>1.3788582233137676</c:v>
                </c:pt>
                <c:pt idx="39">
                  <c:v>1.4142135623730949</c:v>
                </c:pt>
                <c:pt idx="40">
                  <c:v>1.4495689014324222</c:v>
                </c:pt>
                <c:pt idx="41">
                  <c:v>1.4849242404917498</c:v>
                </c:pt>
                <c:pt idx="42">
                  <c:v>1.5202795795510771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1.6617009357883867</c:v>
                </c:pt>
                <c:pt idx="47">
                  <c:v>1.6970562748477138</c:v>
                </c:pt>
                <c:pt idx="48">
                  <c:v>1.7324116139070413</c:v>
                </c:pt>
                <c:pt idx="49">
                  <c:v>1.7677669529663687</c:v>
                </c:pt>
                <c:pt idx="50">
                  <c:v>1.803122292025696</c:v>
                </c:pt>
                <c:pt idx="51">
                  <c:v>1.8384776310850235</c:v>
                </c:pt>
                <c:pt idx="52">
                  <c:v>1.8738329701443508</c:v>
                </c:pt>
                <c:pt idx="53">
                  <c:v>1.9091883092036783</c:v>
                </c:pt>
                <c:pt idx="54">
                  <c:v>1.9445436482630056</c:v>
                </c:pt>
                <c:pt idx="55">
                  <c:v>1.9798989873223327</c:v>
                </c:pt>
                <c:pt idx="56">
                  <c:v>2.0152543263816605</c:v>
                </c:pt>
                <c:pt idx="57">
                  <c:v>2.0506096654409878</c:v>
                </c:pt>
                <c:pt idx="58">
                  <c:v>2.0859650045003151</c:v>
                </c:pt>
                <c:pt idx="59">
                  <c:v>2.1213203435596424</c:v>
                </c:pt>
                <c:pt idx="60">
                  <c:v>2.1566756826189697</c:v>
                </c:pt>
                <c:pt idx="61">
                  <c:v>2.1920310216782974</c:v>
                </c:pt>
                <c:pt idx="62">
                  <c:v>2.2273863607376243</c:v>
                </c:pt>
                <c:pt idx="63">
                  <c:v>2.2627416997969521</c:v>
                </c:pt>
                <c:pt idx="64">
                  <c:v>2.2980970388562794</c:v>
                </c:pt>
                <c:pt idx="65">
                  <c:v>2.3334523779156067</c:v>
                </c:pt>
                <c:pt idx="66">
                  <c:v>2.3723432508808666</c:v>
                </c:pt>
                <c:pt idx="67">
                  <c:v>2.4041630560342613</c:v>
                </c:pt>
                <c:pt idx="68">
                  <c:v>2.439518395093589</c:v>
                </c:pt>
                <c:pt idx="69">
                  <c:v>2.4748737341529163</c:v>
                </c:pt>
                <c:pt idx="70">
                  <c:v>2.5102290732122432</c:v>
                </c:pt>
                <c:pt idx="71">
                  <c:v>2.545584412271571</c:v>
                </c:pt>
                <c:pt idx="72">
                  <c:v>2.5809397513308983</c:v>
                </c:pt>
                <c:pt idx="73">
                  <c:v>2.616295090390226</c:v>
                </c:pt>
                <c:pt idx="74">
                  <c:v>2.6516504294495529</c:v>
                </c:pt>
                <c:pt idx="75">
                  <c:v>2.6870057685088802</c:v>
                </c:pt>
                <c:pt idx="76">
                  <c:v>2.7223611075682079</c:v>
                </c:pt>
                <c:pt idx="77">
                  <c:v>2.7577164466275352</c:v>
                </c:pt>
                <c:pt idx="78">
                  <c:v>2.7930717856868625</c:v>
                </c:pt>
                <c:pt idx="79">
                  <c:v>2.8284271247461898</c:v>
                </c:pt>
                <c:pt idx="80">
                  <c:v>2.8991378028648445</c:v>
                </c:pt>
                <c:pt idx="81">
                  <c:v>2.9698484809834995</c:v>
                </c:pt>
                <c:pt idx="82">
                  <c:v>3.0405591591021541</c:v>
                </c:pt>
                <c:pt idx="83">
                  <c:v>3.1112698372208092</c:v>
                </c:pt>
                <c:pt idx="84">
                  <c:v>3.1819805153394638</c:v>
                </c:pt>
                <c:pt idx="85">
                  <c:v>3.252691193458118</c:v>
                </c:pt>
                <c:pt idx="86">
                  <c:v>3.3234018715767735</c:v>
                </c:pt>
                <c:pt idx="87">
                  <c:v>3.3941125496954276</c:v>
                </c:pt>
                <c:pt idx="88">
                  <c:v>3.4648232278140827</c:v>
                </c:pt>
                <c:pt idx="89">
                  <c:v>3.5355339059327373</c:v>
                </c:pt>
                <c:pt idx="90">
                  <c:v>3.7123106012293743</c:v>
                </c:pt>
                <c:pt idx="91">
                  <c:v>3.8890872965260113</c:v>
                </c:pt>
                <c:pt idx="92">
                  <c:v>4.0658639918226482</c:v>
                </c:pt>
                <c:pt idx="93">
                  <c:v>4.2426406871192848</c:v>
                </c:pt>
                <c:pt idx="94">
                  <c:v>4.4194173824159213</c:v>
                </c:pt>
                <c:pt idx="95">
                  <c:v>4.5961940777125587</c:v>
                </c:pt>
                <c:pt idx="96">
                  <c:v>4.7729707730091953</c:v>
                </c:pt>
                <c:pt idx="97">
                  <c:v>4.9497474683058327</c:v>
                </c:pt>
                <c:pt idx="98">
                  <c:v>5.1265241636024692</c:v>
                </c:pt>
                <c:pt idx="99">
                  <c:v>5.3033008588991057</c:v>
                </c:pt>
                <c:pt idx="100">
                  <c:v>5.4800775541957432</c:v>
                </c:pt>
                <c:pt idx="101">
                  <c:v>5.6568542494923797</c:v>
                </c:pt>
                <c:pt idx="102">
                  <c:v>5.8336309447890171</c:v>
                </c:pt>
                <c:pt idx="103">
                  <c:v>6.0104076400856536</c:v>
                </c:pt>
                <c:pt idx="104">
                  <c:v>6.1871843353822902</c:v>
                </c:pt>
                <c:pt idx="105">
                  <c:v>6.3639610306789276</c:v>
                </c:pt>
                <c:pt idx="106">
                  <c:v>6.5407377259755641</c:v>
                </c:pt>
                <c:pt idx="107">
                  <c:v>6.7175144212722007</c:v>
                </c:pt>
                <c:pt idx="108">
                  <c:v>6.8942911165688381</c:v>
                </c:pt>
                <c:pt idx="109">
                  <c:v>7.0357124728061473</c:v>
                </c:pt>
              </c:numCache>
            </c:numRef>
          </c:xVal>
          <c:yVal>
            <c:numRef>
              <c:f>'LCVR 654_SD'!$X$2:$X$111</c:f>
              <c:numCache>
                <c:formatCode>General</c:formatCode>
                <c:ptCount val="110"/>
                <c:pt idx="0">
                  <c:v>1.6345337406395308</c:v>
                </c:pt>
                <c:pt idx="1">
                  <c:v>1.6358102702779092</c:v>
                </c:pt>
                <c:pt idx="2">
                  <c:v>1.6358102702779092</c:v>
                </c:pt>
                <c:pt idx="3">
                  <c:v>1.6370869060167323</c:v>
                </c:pt>
                <c:pt idx="4">
                  <c:v>1.6370869060167323</c:v>
                </c:pt>
                <c:pt idx="5">
                  <c:v>1.6383636499636449</c:v>
                </c:pt>
                <c:pt idx="6">
                  <c:v>1.6370869060167323</c:v>
                </c:pt>
                <c:pt idx="7">
                  <c:v>1.6383636499636449</c:v>
                </c:pt>
                <c:pt idx="8">
                  <c:v>1.639640504227891</c:v>
                </c:pt>
                <c:pt idx="9">
                  <c:v>1.639640504227891</c:v>
                </c:pt>
                <c:pt idx="10">
                  <c:v>1.6664836812509878</c:v>
                </c:pt>
                <c:pt idx="11">
                  <c:v>1.6421945521535446</c:v>
                </c:pt>
                <c:pt idx="12">
                  <c:v>1.6434717500417222</c:v>
                </c:pt>
                <c:pt idx="13">
                  <c:v>1.6447490667008378</c:v>
                </c:pt>
                <c:pt idx="14">
                  <c:v>1.6460265042486097</c:v>
                </c:pt>
                <c:pt idx="15">
                  <c:v>1.6473040648045492</c:v>
                </c:pt>
                <c:pt idx="16">
                  <c:v>1.6485817504899898</c:v>
                </c:pt>
                <c:pt idx="17">
                  <c:v>1.6511375057440261</c:v>
                </c:pt>
                <c:pt idx="18">
                  <c:v>1.6549721302381748</c:v>
                </c:pt>
                <c:pt idx="19">
                  <c:v>1.6588079958232973</c:v>
                </c:pt>
                <c:pt idx="20">
                  <c:v>1.6613659575297044</c:v>
                </c:pt>
                <c:pt idx="21">
                  <c:v>1.6677634997791602</c:v>
                </c:pt>
                <c:pt idx="22">
                  <c:v>1.6741650257877385</c:v>
                </c:pt>
                <c:pt idx="23">
                  <c:v>1.6818524962437977</c:v>
                </c:pt>
                <c:pt idx="24">
                  <c:v>1.69211279913229</c:v>
                </c:pt>
                <c:pt idx="25">
                  <c:v>1.7049563825760206</c:v>
                </c:pt>
                <c:pt idx="26">
                  <c:v>1.7216867232048032</c:v>
                </c:pt>
                <c:pt idx="27">
                  <c:v>1.7436300315296105</c:v>
                </c:pt>
                <c:pt idx="28">
                  <c:v>1.7695546268125768</c:v>
                </c:pt>
                <c:pt idx="29">
                  <c:v>1.8008455782105621</c:v>
                </c:pt>
                <c:pt idx="30">
                  <c:v>1.8376463552524229</c:v>
                </c:pt>
                <c:pt idx="31">
                  <c:v>1.8774927055113828</c:v>
                </c:pt>
                <c:pt idx="32">
                  <c:v>1.9192036689584859</c:v>
                </c:pt>
                <c:pt idx="33">
                  <c:v>1.9670741070675</c:v>
                </c:pt>
                <c:pt idx="34">
                  <c:v>2.0159241467153421</c:v>
                </c:pt>
                <c:pt idx="35">
                  <c:v>2.0572749198274263</c:v>
                </c:pt>
                <c:pt idx="36">
                  <c:v>2.1084264790449279</c:v>
                </c:pt>
                <c:pt idx="37">
                  <c:v>2.1565964069780459</c:v>
                </c:pt>
                <c:pt idx="38">
                  <c:v>2.1812611719981554</c:v>
                </c:pt>
                <c:pt idx="39">
                  <c:v>2.2367818973234832</c:v>
                </c:pt>
                <c:pt idx="40">
                  <c:v>2.2880597624114403</c:v>
                </c:pt>
                <c:pt idx="41">
                  <c:v>2.3381979883770985</c:v>
                </c:pt>
                <c:pt idx="42">
                  <c:v>2.3946330881664015</c:v>
                </c:pt>
                <c:pt idx="43">
                  <c:v>2.4507363087465879</c:v>
                </c:pt>
                <c:pt idx="44">
                  <c:v>2.5044882940128095</c:v>
                </c:pt>
                <c:pt idx="45">
                  <c:v>2.557830353866982</c:v>
                </c:pt>
                <c:pt idx="46">
                  <c:v>2.610828240494933</c:v>
                </c:pt>
                <c:pt idx="47">
                  <c:v>2.6635521830381514</c:v>
                </c:pt>
                <c:pt idx="48">
                  <c:v>2.8129980415768472</c:v>
                </c:pt>
                <c:pt idx="49">
                  <c:v>2.8737013551768253</c:v>
                </c:pt>
                <c:pt idx="50">
                  <c:v>2.9330996340142104</c:v>
                </c:pt>
                <c:pt idx="51">
                  <c:v>2.9739884302687454</c:v>
                </c:pt>
                <c:pt idx="52">
                  <c:v>3.028666130050345</c:v>
                </c:pt>
                <c:pt idx="53">
                  <c:v>3.0701944282311455</c:v>
                </c:pt>
                <c:pt idx="54">
                  <c:v>3.1415926535897931</c:v>
                </c:pt>
                <c:pt idx="55">
                  <c:v>3.1415926535897931</c:v>
                </c:pt>
                <c:pt idx="56">
                  <c:v>3.1415926535897931</c:v>
                </c:pt>
                <c:pt idx="57">
                  <c:v>2.9270321425629504</c:v>
                </c:pt>
                <c:pt idx="58">
                  <c:v>2.8936800948432597</c:v>
                </c:pt>
                <c:pt idx="59">
                  <c:v>2.859624094695369</c:v>
                </c:pt>
                <c:pt idx="60">
                  <c:v>2.8129980415768472</c:v>
                </c:pt>
                <c:pt idx="61">
                  <c:v>2.7317849380203825</c:v>
                </c:pt>
                <c:pt idx="62">
                  <c:v>2.6862017495845874</c:v>
                </c:pt>
                <c:pt idx="63">
                  <c:v>2.60831700857364</c:v>
                </c:pt>
                <c:pt idx="64">
                  <c:v>2.60831700857364</c:v>
                </c:pt>
                <c:pt idx="65">
                  <c:v>2.5671411099880515</c:v>
                </c:pt>
                <c:pt idx="66">
                  <c:v>2.5131043580387877</c:v>
                </c:pt>
                <c:pt idx="67">
                  <c:v>2.464851672965231</c:v>
                </c:pt>
                <c:pt idx="68">
                  <c:v>2.4174151360254177</c:v>
                </c:pt>
                <c:pt idx="69">
                  <c:v>2.3705686555557959</c:v>
                </c:pt>
                <c:pt idx="70">
                  <c:v>2.3258809824018862</c:v>
                </c:pt>
                <c:pt idx="71">
                  <c:v>2.2813179999801632</c:v>
                </c:pt>
                <c:pt idx="72">
                  <c:v>2.2400262060284373</c:v>
                </c:pt>
                <c:pt idx="73">
                  <c:v>2.1984671794642527</c:v>
                </c:pt>
                <c:pt idx="74">
                  <c:v>2.1596570765998226</c:v>
                </c:pt>
                <c:pt idx="75">
                  <c:v>2.1218284714416784</c:v>
                </c:pt>
                <c:pt idx="76">
                  <c:v>2.0848599889378763</c:v>
                </c:pt>
                <c:pt idx="77">
                  <c:v>2.0457810265897298</c:v>
                </c:pt>
                <c:pt idx="78">
                  <c:v>2.0088788266727131</c:v>
                </c:pt>
                <c:pt idx="79">
                  <c:v>1.9712204137136151</c:v>
                </c:pt>
                <c:pt idx="80">
                  <c:v>1.9070324286406588</c:v>
                </c:pt>
                <c:pt idx="81">
                  <c:v>1.8455788024448758</c:v>
                </c:pt>
                <c:pt idx="82">
                  <c:v>1.7838699082573533</c:v>
                </c:pt>
                <c:pt idx="83">
                  <c:v>1.733293960732414</c:v>
                </c:pt>
                <c:pt idx="84">
                  <c:v>1.6805708058483462</c:v>
                </c:pt>
                <c:pt idx="85">
                  <c:v>1.6192228956750645</c:v>
                </c:pt>
                <c:pt idx="86">
                  <c:v>1.5695224411000377</c:v>
                </c:pt>
                <c:pt idx="87">
                  <c:v>1.5287457186398126</c:v>
                </c:pt>
                <c:pt idx="88">
                  <c:v>1.478947493387841</c:v>
                </c:pt>
                <c:pt idx="89">
                  <c:v>1.4430607110714397</c:v>
                </c:pt>
                <c:pt idx="90">
                  <c:v>1.3289553370415299</c:v>
                </c:pt>
                <c:pt idx="91">
                  <c:v>1.2520505123463033</c:v>
                </c:pt>
                <c:pt idx="92">
                  <c:v>1.2047122103578745</c:v>
                </c:pt>
                <c:pt idx="93">
                  <c:v>1.1537129988885644</c:v>
                </c:pt>
                <c:pt idx="94">
                  <c:v>1.1100843228878281</c:v>
                </c:pt>
                <c:pt idx="95">
                  <c:v>1.074203005008658</c:v>
                </c:pt>
                <c:pt idx="96">
                  <c:v>1.0449897080861885</c:v>
                </c:pt>
                <c:pt idx="97">
                  <c:v>1.0107680078451418</c:v>
                </c:pt>
                <c:pt idx="98">
                  <c:v>0.98346669130562514</c:v>
                </c:pt>
                <c:pt idx="99">
                  <c:v>0.96808399114541721</c:v>
                </c:pt>
                <c:pt idx="100">
                  <c:v>0.95097255921485369</c:v>
                </c:pt>
                <c:pt idx="101">
                  <c:v>0.93364954600936834</c:v>
                </c:pt>
                <c:pt idx="102">
                  <c:v>0.91288564710597175</c:v>
                </c:pt>
                <c:pt idx="103">
                  <c:v>0.90966178187637792</c:v>
                </c:pt>
                <c:pt idx="104">
                  <c:v>0.89341893880644385</c:v>
                </c:pt>
                <c:pt idx="105">
                  <c:v>0.87861687774721686</c:v>
                </c:pt>
                <c:pt idx="106">
                  <c:v>0.87031469180648013</c:v>
                </c:pt>
                <c:pt idx="107">
                  <c:v>0.85353289117835307</c:v>
                </c:pt>
                <c:pt idx="108">
                  <c:v>0.84845045374709482</c:v>
                </c:pt>
                <c:pt idx="109">
                  <c:v>0.83992869144804272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F3-4E6A-A740-88172977466F}"/>
            </c:ext>
          </c:extLst>
        </c:ser>
        <c:ser>
          <c:idx val="2"/>
          <c:order val="2"/>
          <c:tx>
            <c:strRef>
              <c:f>'LCVR 654_SD'!$Y$1</c:f>
              <c:strCache>
                <c:ptCount val="1"/>
                <c:pt idx="0">
                  <c:v>d with phase corr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'LCVR 654_SD'!$V$2:$V$111</c:f>
              <c:numCache>
                <c:formatCode>General</c:formatCode>
                <c:ptCount val="110"/>
                <c:pt idx="0">
                  <c:v>3.5355339059327376E-2</c:v>
                </c:pt>
                <c:pt idx="1">
                  <c:v>7.0710678118654752E-2</c:v>
                </c:pt>
                <c:pt idx="2">
                  <c:v>0.10606601717798211</c:v>
                </c:pt>
                <c:pt idx="3">
                  <c:v>0.1414213562373095</c:v>
                </c:pt>
                <c:pt idx="4">
                  <c:v>0.17677669529663687</c:v>
                </c:pt>
                <c:pt idx="5">
                  <c:v>0.21213203435596423</c:v>
                </c:pt>
                <c:pt idx="6">
                  <c:v>0.24748737341529159</c:v>
                </c:pt>
                <c:pt idx="7">
                  <c:v>0.28284271247461901</c:v>
                </c:pt>
                <c:pt idx="8">
                  <c:v>0.31819805153394637</c:v>
                </c:pt>
                <c:pt idx="9">
                  <c:v>0.35355339059327373</c:v>
                </c:pt>
                <c:pt idx="10">
                  <c:v>0.38890872965260115</c:v>
                </c:pt>
                <c:pt idx="11">
                  <c:v>0.42426406871192845</c:v>
                </c:pt>
                <c:pt idx="12">
                  <c:v>0.45961940777125587</c:v>
                </c:pt>
                <c:pt idx="13">
                  <c:v>0.49497474683058318</c:v>
                </c:pt>
                <c:pt idx="14">
                  <c:v>0.5303300858899106</c:v>
                </c:pt>
                <c:pt idx="15">
                  <c:v>0.56568542494923801</c:v>
                </c:pt>
                <c:pt idx="16">
                  <c:v>0.60104076400856532</c:v>
                </c:pt>
                <c:pt idx="17">
                  <c:v>0.63639610306789274</c:v>
                </c:pt>
                <c:pt idx="18">
                  <c:v>0.67175144212722004</c:v>
                </c:pt>
                <c:pt idx="19">
                  <c:v>0.70710678118654746</c:v>
                </c:pt>
                <c:pt idx="20">
                  <c:v>0.74246212024587488</c:v>
                </c:pt>
                <c:pt idx="21">
                  <c:v>0.7778174593052023</c:v>
                </c:pt>
                <c:pt idx="22">
                  <c:v>0.81317279836452949</c:v>
                </c:pt>
                <c:pt idx="23">
                  <c:v>0.84852813742385691</c:v>
                </c:pt>
                <c:pt idx="24">
                  <c:v>0.88388347648318433</c:v>
                </c:pt>
                <c:pt idx="25">
                  <c:v>0.91923881554251174</c:v>
                </c:pt>
                <c:pt idx="26">
                  <c:v>0.95459415460183916</c:v>
                </c:pt>
                <c:pt idx="27">
                  <c:v>0.98994949366116636</c:v>
                </c:pt>
                <c:pt idx="28">
                  <c:v>1.0253048327204939</c:v>
                </c:pt>
                <c:pt idx="29">
                  <c:v>1.0606601717798212</c:v>
                </c:pt>
                <c:pt idx="30">
                  <c:v>1.0960155108391487</c:v>
                </c:pt>
                <c:pt idx="31">
                  <c:v>1.131370849898476</c:v>
                </c:pt>
                <c:pt idx="32">
                  <c:v>1.1667261889578033</c:v>
                </c:pt>
                <c:pt idx="33">
                  <c:v>1.2020815280171306</c:v>
                </c:pt>
                <c:pt idx="34">
                  <c:v>1.2374368670764582</c:v>
                </c:pt>
                <c:pt idx="35">
                  <c:v>1.2727922061357855</c:v>
                </c:pt>
                <c:pt idx="36">
                  <c:v>1.308147545195113</c:v>
                </c:pt>
                <c:pt idx="37">
                  <c:v>1.3435028842544401</c:v>
                </c:pt>
                <c:pt idx="38">
                  <c:v>1.3788582233137676</c:v>
                </c:pt>
                <c:pt idx="39">
                  <c:v>1.4142135623730949</c:v>
                </c:pt>
                <c:pt idx="40">
                  <c:v>1.4495689014324222</c:v>
                </c:pt>
                <c:pt idx="41">
                  <c:v>1.4849242404917498</c:v>
                </c:pt>
                <c:pt idx="42">
                  <c:v>1.5202795795510771</c:v>
                </c:pt>
                <c:pt idx="43">
                  <c:v>1.5556349186104046</c:v>
                </c:pt>
                <c:pt idx="44">
                  <c:v>1.5909902576697319</c:v>
                </c:pt>
                <c:pt idx="45">
                  <c:v>1.626345596729059</c:v>
                </c:pt>
                <c:pt idx="46">
                  <c:v>1.6617009357883867</c:v>
                </c:pt>
                <c:pt idx="47">
                  <c:v>1.6970562748477138</c:v>
                </c:pt>
                <c:pt idx="48">
                  <c:v>1.7324116139070413</c:v>
                </c:pt>
                <c:pt idx="49">
                  <c:v>1.7677669529663687</c:v>
                </c:pt>
                <c:pt idx="50">
                  <c:v>1.803122292025696</c:v>
                </c:pt>
                <c:pt idx="51">
                  <c:v>1.8384776310850235</c:v>
                </c:pt>
                <c:pt idx="52">
                  <c:v>1.8738329701443508</c:v>
                </c:pt>
                <c:pt idx="53">
                  <c:v>1.9091883092036783</c:v>
                </c:pt>
                <c:pt idx="54">
                  <c:v>1.9445436482630056</c:v>
                </c:pt>
                <c:pt idx="55">
                  <c:v>1.9798989873223327</c:v>
                </c:pt>
                <c:pt idx="56">
                  <c:v>2.0152543263816605</c:v>
                </c:pt>
                <c:pt idx="57">
                  <c:v>2.0506096654409878</c:v>
                </c:pt>
                <c:pt idx="58">
                  <c:v>2.0859650045003151</c:v>
                </c:pt>
                <c:pt idx="59">
                  <c:v>2.1213203435596424</c:v>
                </c:pt>
                <c:pt idx="60">
                  <c:v>2.1566756826189697</c:v>
                </c:pt>
                <c:pt idx="61">
                  <c:v>2.1920310216782974</c:v>
                </c:pt>
                <c:pt idx="62">
                  <c:v>2.2273863607376243</c:v>
                </c:pt>
                <c:pt idx="63">
                  <c:v>2.2627416997969521</c:v>
                </c:pt>
                <c:pt idx="64">
                  <c:v>2.2980970388562794</c:v>
                </c:pt>
                <c:pt idx="65">
                  <c:v>2.3334523779156067</c:v>
                </c:pt>
                <c:pt idx="66">
                  <c:v>2.3723432508808666</c:v>
                </c:pt>
                <c:pt idx="67">
                  <c:v>2.4041630560342613</c:v>
                </c:pt>
                <c:pt idx="68">
                  <c:v>2.439518395093589</c:v>
                </c:pt>
                <c:pt idx="69">
                  <c:v>2.4748737341529163</c:v>
                </c:pt>
                <c:pt idx="70">
                  <c:v>2.5102290732122432</c:v>
                </c:pt>
                <c:pt idx="71">
                  <c:v>2.545584412271571</c:v>
                </c:pt>
                <c:pt idx="72">
                  <c:v>2.5809397513308983</c:v>
                </c:pt>
                <c:pt idx="73">
                  <c:v>2.616295090390226</c:v>
                </c:pt>
                <c:pt idx="74">
                  <c:v>2.6516504294495529</c:v>
                </c:pt>
                <c:pt idx="75">
                  <c:v>2.6870057685088802</c:v>
                </c:pt>
                <c:pt idx="76">
                  <c:v>2.7223611075682079</c:v>
                </c:pt>
                <c:pt idx="77">
                  <c:v>2.7577164466275352</c:v>
                </c:pt>
                <c:pt idx="78">
                  <c:v>2.7930717856868625</c:v>
                </c:pt>
                <c:pt idx="79">
                  <c:v>2.8284271247461898</c:v>
                </c:pt>
                <c:pt idx="80">
                  <c:v>2.8991378028648445</c:v>
                </c:pt>
                <c:pt idx="81">
                  <c:v>2.9698484809834995</c:v>
                </c:pt>
                <c:pt idx="82">
                  <c:v>3.0405591591021541</c:v>
                </c:pt>
                <c:pt idx="83">
                  <c:v>3.1112698372208092</c:v>
                </c:pt>
                <c:pt idx="84">
                  <c:v>3.1819805153394638</c:v>
                </c:pt>
                <c:pt idx="85">
                  <c:v>3.252691193458118</c:v>
                </c:pt>
                <c:pt idx="86">
                  <c:v>3.3234018715767735</c:v>
                </c:pt>
                <c:pt idx="87">
                  <c:v>3.3941125496954276</c:v>
                </c:pt>
                <c:pt idx="88">
                  <c:v>3.4648232278140827</c:v>
                </c:pt>
                <c:pt idx="89">
                  <c:v>3.5355339059327373</c:v>
                </c:pt>
                <c:pt idx="90">
                  <c:v>3.7123106012293743</c:v>
                </c:pt>
                <c:pt idx="91">
                  <c:v>3.8890872965260113</c:v>
                </c:pt>
                <c:pt idx="92">
                  <c:v>4.0658639918226482</c:v>
                </c:pt>
                <c:pt idx="93">
                  <c:v>4.2426406871192848</c:v>
                </c:pt>
                <c:pt idx="94">
                  <c:v>4.4194173824159213</c:v>
                </c:pt>
                <c:pt idx="95">
                  <c:v>4.5961940777125587</c:v>
                </c:pt>
                <c:pt idx="96">
                  <c:v>4.7729707730091953</c:v>
                </c:pt>
                <c:pt idx="97">
                  <c:v>4.9497474683058327</c:v>
                </c:pt>
                <c:pt idx="98">
                  <c:v>5.1265241636024692</c:v>
                </c:pt>
                <c:pt idx="99">
                  <c:v>5.3033008588991057</c:v>
                </c:pt>
                <c:pt idx="100">
                  <c:v>5.4800775541957432</c:v>
                </c:pt>
                <c:pt idx="101">
                  <c:v>5.6568542494923797</c:v>
                </c:pt>
                <c:pt idx="102">
                  <c:v>5.8336309447890171</c:v>
                </c:pt>
                <c:pt idx="103">
                  <c:v>6.0104076400856536</c:v>
                </c:pt>
                <c:pt idx="104">
                  <c:v>6.1871843353822902</c:v>
                </c:pt>
                <c:pt idx="105">
                  <c:v>6.3639610306789276</c:v>
                </c:pt>
                <c:pt idx="106">
                  <c:v>6.5407377259755641</c:v>
                </c:pt>
                <c:pt idx="107">
                  <c:v>6.7175144212722007</c:v>
                </c:pt>
                <c:pt idx="108">
                  <c:v>6.8942911165688381</c:v>
                </c:pt>
                <c:pt idx="109">
                  <c:v>7.0357124728061473</c:v>
                </c:pt>
              </c:numCache>
            </c:numRef>
          </c:xVal>
          <c:yVal>
            <c:numRef>
              <c:f>'LCVR 654_SD'!$Y$2:$Y$111</c:f>
              <c:numCache>
                <c:formatCode>General</c:formatCode>
                <c:ptCount val="110"/>
                <c:pt idx="0">
                  <c:v>5.4432566157315438</c:v>
                </c:pt>
                <c:pt idx="1">
                  <c:v>5.4347348534324915</c:v>
                </c:pt>
                <c:pt idx="2">
                  <c:v>5.4296524160012334</c:v>
                </c:pt>
                <c:pt idx="3">
                  <c:v>5.4128706153731061</c:v>
                </c:pt>
                <c:pt idx="4">
                  <c:v>5.404568429432369</c:v>
                </c:pt>
                <c:pt idx="5">
                  <c:v>5.3897663683731425</c:v>
                </c:pt>
                <c:pt idx="6">
                  <c:v>5.3735235253032085</c:v>
                </c:pt>
                <c:pt idx="7">
                  <c:v>5.3702996600736146</c:v>
                </c:pt>
                <c:pt idx="8">
                  <c:v>5.3495357611702179</c:v>
                </c:pt>
                <c:pt idx="9">
                  <c:v>5.3322127479647321</c:v>
                </c:pt>
                <c:pt idx="10">
                  <c:v>5.3151013160341689</c:v>
                </c:pt>
                <c:pt idx="11">
                  <c:v>5.2997186158739611</c:v>
                </c:pt>
                <c:pt idx="12">
                  <c:v>5.2724172993344443</c:v>
                </c:pt>
                <c:pt idx="13">
                  <c:v>5.2381955990933982</c:v>
                </c:pt>
                <c:pt idx="14">
                  <c:v>5.2089823021709281</c:v>
                </c:pt>
                <c:pt idx="15">
                  <c:v>5.1731009842917581</c:v>
                </c:pt>
                <c:pt idx="16">
                  <c:v>5.1294723082910219</c:v>
                </c:pt>
                <c:pt idx="17">
                  <c:v>5.0784730968217122</c:v>
                </c:pt>
                <c:pt idx="18">
                  <c:v>5.0311347948332834</c:v>
                </c:pt>
                <c:pt idx="19">
                  <c:v>4.9542299701380568</c:v>
                </c:pt>
                <c:pt idx="20">
                  <c:v>4.8401245961081463</c:v>
                </c:pt>
                <c:pt idx="21">
                  <c:v>4.8042378137917456</c:v>
                </c:pt>
                <c:pt idx="22">
                  <c:v>4.7544395885397739</c:v>
                </c:pt>
                <c:pt idx="23">
                  <c:v>4.7136628660795488</c:v>
                </c:pt>
                <c:pt idx="24">
                  <c:v>4.6639624115045217</c:v>
                </c:pt>
                <c:pt idx="25">
                  <c:v>4.6026145013312405</c:v>
                </c:pt>
                <c:pt idx="26">
                  <c:v>4.549891346447172</c:v>
                </c:pt>
                <c:pt idx="27">
                  <c:v>4.4993153989222332</c:v>
                </c:pt>
                <c:pt idx="28">
                  <c:v>4.4376065047347106</c:v>
                </c:pt>
                <c:pt idx="29">
                  <c:v>4.3761528785389272</c:v>
                </c:pt>
                <c:pt idx="30">
                  <c:v>4.3119648934659711</c:v>
                </c:pt>
                <c:pt idx="31">
                  <c:v>4.2743064805068727</c:v>
                </c:pt>
                <c:pt idx="32">
                  <c:v>4.2374042805898569</c:v>
                </c:pt>
                <c:pt idx="33">
                  <c:v>4.19832531824171</c:v>
                </c:pt>
                <c:pt idx="34">
                  <c:v>4.1613568357379078</c:v>
                </c:pt>
                <c:pt idx="35">
                  <c:v>4.1235282305797636</c:v>
                </c:pt>
                <c:pt idx="36">
                  <c:v>4.0847181277153339</c:v>
                </c:pt>
                <c:pt idx="37">
                  <c:v>4.043159101151149</c:v>
                </c:pt>
                <c:pt idx="38">
                  <c:v>4.0018673071994231</c:v>
                </c:pt>
                <c:pt idx="39">
                  <c:v>3.9573043247777</c:v>
                </c:pt>
                <c:pt idx="40">
                  <c:v>3.9126166516237904</c:v>
                </c:pt>
                <c:pt idx="41">
                  <c:v>3.8657701711541685</c:v>
                </c:pt>
                <c:pt idx="42">
                  <c:v>3.8183336342143552</c:v>
                </c:pt>
                <c:pt idx="43">
                  <c:v>3.7700809491407985</c:v>
                </c:pt>
                <c:pt idx="44">
                  <c:v>3.7160441971915348</c:v>
                </c:pt>
                <c:pt idx="45">
                  <c:v>3.6748682986059462</c:v>
                </c:pt>
                <c:pt idx="46">
                  <c:v>3.6748682986059462</c:v>
                </c:pt>
                <c:pt idx="47">
                  <c:v>3.5969835575949989</c:v>
                </c:pt>
                <c:pt idx="48">
                  <c:v>3.5514003691592038</c:v>
                </c:pt>
                <c:pt idx="49">
                  <c:v>3.470187265602739</c:v>
                </c:pt>
                <c:pt idx="50">
                  <c:v>3.4235612124842172</c:v>
                </c:pt>
                <c:pt idx="51">
                  <c:v>3.3895052123363265</c:v>
                </c:pt>
                <c:pt idx="52">
                  <c:v>3.3561531646166358</c:v>
                </c:pt>
                <c:pt idx="53">
                  <c:v>3.1415926535897931</c:v>
                </c:pt>
                <c:pt idx="54">
                  <c:v>3.1415926535897931</c:v>
                </c:pt>
                <c:pt idx="55">
                  <c:v>3.1415926535897931</c:v>
                </c:pt>
                <c:pt idx="56">
                  <c:v>3.2129908789484407</c:v>
                </c:pt>
                <c:pt idx="57">
                  <c:v>3.2545191771292412</c:v>
                </c:pt>
                <c:pt idx="58">
                  <c:v>3.3091968769108409</c:v>
                </c:pt>
                <c:pt idx="59">
                  <c:v>3.3500856731653759</c:v>
                </c:pt>
                <c:pt idx="60">
                  <c:v>3.4094839520027609</c:v>
                </c:pt>
                <c:pt idx="61">
                  <c:v>3.470187265602739</c:v>
                </c:pt>
                <c:pt idx="62">
                  <c:v>3.6196331241414348</c:v>
                </c:pt>
                <c:pt idx="63">
                  <c:v>3.6723570666846532</c:v>
                </c:pt>
                <c:pt idx="64">
                  <c:v>3.7253549533126042</c:v>
                </c:pt>
                <c:pt idx="65">
                  <c:v>3.7786970131667768</c:v>
                </c:pt>
                <c:pt idx="66">
                  <c:v>3.8324489984329984</c:v>
                </c:pt>
                <c:pt idx="67">
                  <c:v>3.8885522190131847</c:v>
                </c:pt>
                <c:pt idx="68">
                  <c:v>3.9449873188024878</c:v>
                </c:pt>
                <c:pt idx="69">
                  <c:v>3.995125544768146</c:v>
                </c:pt>
                <c:pt idx="70">
                  <c:v>4.0464034098561026</c:v>
                </c:pt>
                <c:pt idx="71">
                  <c:v>4.1019241351814308</c:v>
                </c:pt>
                <c:pt idx="72">
                  <c:v>4.1265889002015399</c:v>
                </c:pt>
                <c:pt idx="73">
                  <c:v>4.1747588281346584</c:v>
                </c:pt>
                <c:pt idx="74">
                  <c:v>4.22591038735216</c:v>
                </c:pt>
                <c:pt idx="75">
                  <c:v>4.2672611604642441</c:v>
                </c:pt>
                <c:pt idx="76">
                  <c:v>4.3161112001120863</c:v>
                </c:pt>
                <c:pt idx="77">
                  <c:v>4.3639816382210999</c:v>
                </c:pt>
                <c:pt idx="78">
                  <c:v>4.4056926016682034</c:v>
                </c:pt>
                <c:pt idx="79">
                  <c:v>4.4455389519271638</c:v>
                </c:pt>
                <c:pt idx="80">
                  <c:v>4.4823397289690243</c:v>
                </c:pt>
                <c:pt idx="81">
                  <c:v>4.5136306803670099</c:v>
                </c:pt>
                <c:pt idx="82">
                  <c:v>4.5395552756499757</c:v>
                </c:pt>
                <c:pt idx="83">
                  <c:v>4.5614985839747835</c:v>
                </c:pt>
                <c:pt idx="84">
                  <c:v>4.5782289246035655</c:v>
                </c:pt>
                <c:pt idx="85">
                  <c:v>4.5910725080472963</c:v>
                </c:pt>
                <c:pt idx="86">
                  <c:v>4.6013328109357889</c:v>
                </c:pt>
                <c:pt idx="87">
                  <c:v>4.6090202813918477</c:v>
                </c:pt>
                <c:pt idx="88">
                  <c:v>4.6154218074004261</c:v>
                </c:pt>
                <c:pt idx="89">
                  <c:v>4.6218193496498818</c:v>
                </c:pt>
                <c:pt idx="90">
                  <c:v>4.6243773113562892</c:v>
                </c:pt>
                <c:pt idx="91">
                  <c:v>4.6282131769414114</c:v>
                </c:pt>
                <c:pt idx="92">
                  <c:v>4.6320478014355597</c:v>
                </c:pt>
                <c:pt idx="93">
                  <c:v>4.634603556689596</c:v>
                </c:pt>
                <c:pt idx="94">
                  <c:v>4.6358812423750368</c:v>
                </c:pt>
                <c:pt idx="95">
                  <c:v>4.6371588029309763</c:v>
                </c:pt>
                <c:pt idx="96">
                  <c:v>4.6384362404787485</c:v>
                </c:pt>
                <c:pt idx="97">
                  <c:v>4.6397135571378643</c:v>
                </c:pt>
                <c:pt idx="98">
                  <c:v>4.6409907550260421</c:v>
                </c:pt>
                <c:pt idx="99">
                  <c:v>4.6167016259285987</c:v>
                </c:pt>
                <c:pt idx="100">
                  <c:v>4.6435448029516948</c:v>
                </c:pt>
                <c:pt idx="101">
                  <c:v>4.6435448029516948</c:v>
                </c:pt>
                <c:pt idx="102">
                  <c:v>4.6448216572159415</c:v>
                </c:pt>
                <c:pt idx="103">
                  <c:v>4.6460984011628543</c:v>
                </c:pt>
                <c:pt idx="104">
                  <c:v>4.6448216572159415</c:v>
                </c:pt>
                <c:pt idx="105">
                  <c:v>4.6460984011628543</c:v>
                </c:pt>
                <c:pt idx="106">
                  <c:v>4.6460984011628543</c:v>
                </c:pt>
                <c:pt idx="107">
                  <c:v>4.6473750369016766</c:v>
                </c:pt>
                <c:pt idx="108">
                  <c:v>4.6473750369016766</c:v>
                </c:pt>
                <c:pt idx="109">
                  <c:v>4.648651566540055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F3-4E6A-A740-881729774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979615"/>
        <c:axId val="809980095"/>
      </c:scatterChart>
      <c:valAx>
        <c:axId val="80997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80095"/>
        <c:crosses val="autoZero"/>
        <c:crossBetween val="midCat"/>
      </c:valAx>
      <c:valAx>
        <c:axId val="80998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Retardance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979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</xdr:colOff>
      <xdr:row>5</xdr:row>
      <xdr:rowOff>64770</xdr:rowOff>
    </xdr:from>
    <xdr:to>
      <xdr:col>11</xdr:col>
      <xdr:colOff>53340</xdr:colOff>
      <xdr:row>39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617220</xdr:colOff>
      <xdr:row>20</xdr:row>
      <xdr:rowOff>38100</xdr:rowOff>
    </xdr:from>
    <xdr:ext cx="1293239" cy="37407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630680" y="2628900"/>
          <a:ext cx="1293239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rgbClr val="FF0000"/>
              </a:solidFill>
            </a:rPr>
            <a:t>apply phase correction</a:t>
          </a:r>
        </a:p>
        <a:p>
          <a:r>
            <a:rPr lang="en-US" sz="900">
              <a:solidFill>
                <a:srgbClr val="FF0000"/>
              </a:solidFill>
            </a:rPr>
            <a:t>to here (the "point" (pi)</a:t>
          </a:r>
        </a:p>
      </xdr:txBody>
    </xdr:sp>
    <xdr:clientData/>
  </xdr:oneCellAnchor>
  <xdr:twoCellAnchor>
    <xdr:from>
      <xdr:col>11</xdr:col>
      <xdr:colOff>179070</xdr:colOff>
      <xdr:row>2</xdr:row>
      <xdr:rowOff>57150</xdr:rowOff>
    </xdr:from>
    <xdr:to>
      <xdr:col>22</xdr:col>
      <xdr:colOff>45720</xdr:colOff>
      <xdr:row>33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14</xdr:col>
      <xdr:colOff>449580</xdr:colOff>
      <xdr:row>19</xdr:row>
      <xdr:rowOff>121920</xdr:rowOff>
    </xdr:from>
    <xdr:ext cx="2941383" cy="65582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016240" y="2583180"/>
          <a:ext cx="2941383" cy="655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@ 0.5</a:t>
          </a:r>
          <a:r>
            <a:rPr lang="en-US" sz="900" baseline="0"/>
            <a:t> waves (linearly polarized and rotated by 90 degrees)</a:t>
          </a:r>
        </a:p>
        <a:p>
          <a:endParaRPr lang="en-US" sz="900" baseline="0"/>
        </a:p>
        <a:p>
          <a:endParaRPr lang="en-US" sz="900" baseline="0"/>
        </a:p>
        <a:p>
          <a:r>
            <a:rPr lang="en-US" sz="900" baseline="0"/>
            <a:t>@ 0.25 waves (circularly polarized)</a:t>
          </a:r>
        </a:p>
      </xdr:txBody>
    </xdr:sp>
    <xdr:clientData/>
  </xdr:oneCellAnchor>
  <xdr:twoCellAnchor>
    <xdr:from>
      <xdr:col>14</xdr:col>
      <xdr:colOff>411480</xdr:colOff>
      <xdr:row>20</xdr:row>
      <xdr:rowOff>38100</xdr:rowOff>
    </xdr:from>
    <xdr:to>
      <xdr:col>14</xdr:col>
      <xdr:colOff>411480</xdr:colOff>
      <xdr:row>24</xdr:row>
      <xdr:rowOff>83820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7978140" y="2628900"/>
          <a:ext cx="0" cy="563880"/>
        </a:xfrm>
        <a:prstGeom prst="straightConnector1">
          <a:avLst/>
        </a:prstGeom>
        <a:ln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0.46149</cdr:x>
      <cdr:y>0.44875</cdr:y>
    </cdr:from>
    <cdr:to>
      <cdr:x>0.99727</cdr:x>
      <cdr:y>0.74849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FCCB60-FABD-3FAE-BA46-180D60AC1AAB}"/>
            </a:ext>
          </a:extLst>
        </cdr:cNvPr>
        <cdr:cNvSpPr txBox="1"/>
      </cdr:nvSpPr>
      <cdr:spPr>
        <a:xfrm xmlns:a="http://schemas.openxmlformats.org/drawingml/2006/main">
          <a:off x="2579370" y="1985010"/>
          <a:ext cx="2994660" cy="1325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/>
            <a:t>You can see that we really do not need to normalize</a:t>
          </a:r>
          <a:r>
            <a:rPr lang="en-US" sz="900" baseline="0"/>
            <a:t> as</a:t>
          </a:r>
        </a:p>
        <a:p xmlns:a="http://schemas.openxmlformats.org/drawingml/2006/main">
          <a:r>
            <a:rPr lang="en-US" sz="900" baseline="0"/>
            <a:t>blue raw data agrees near perfectly with normalized.</a:t>
          </a:r>
        </a:p>
        <a:p xmlns:a="http://schemas.openxmlformats.org/drawingml/2006/main">
          <a:r>
            <a:rPr lang="en-US" sz="900" baseline="0"/>
            <a:t>But, if laser mode hops, or is unstable, we have it covered!</a:t>
          </a:r>
        </a:p>
        <a:p xmlns:a="http://schemas.openxmlformats.org/drawingml/2006/main">
          <a:endParaRPr lang="en-US" sz="900" baseline="0"/>
        </a:p>
        <a:p xmlns:a="http://schemas.openxmlformats.org/drawingml/2006/main">
          <a:r>
            <a:rPr lang="en-US" sz="900" baseline="0"/>
            <a:t>Note: change in scale when converting from</a:t>
          </a:r>
        </a:p>
        <a:p xmlns:a="http://schemas.openxmlformats.org/drawingml/2006/main">
          <a:r>
            <a:rPr lang="en-US" sz="900" baseline="0"/>
            <a:t>Intensity --&gt; phase via   --   acos(1-2 (I/Imax))</a:t>
          </a:r>
        </a:p>
        <a:p xmlns:a="http://schemas.openxmlformats.org/drawingml/2006/main">
          <a:endParaRPr lang="en-US" sz="900" baseline="0"/>
        </a:p>
        <a:p xmlns:a="http://schemas.openxmlformats.org/drawingml/2006/main">
          <a:r>
            <a:rPr lang="en-US" sz="900" baseline="0"/>
            <a:t>Note: apply phase correction up to  "pi" then jsut copy/paste</a:t>
          </a:r>
        </a:p>
        <a:p xmlns:a="http://schemas.openxmlformats.org/drawingml/2006/main">
          <a:endParaRPr lang="en-US" sz="9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556260</xdr:colOff>
      <xdr:row>13</xdr:row>
      <xdr:rowOff>106680</xdr:rowOff>
    </xdr:from>
    <xdr:ext cx="1293239" cy="37407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0591800" y="1790700"/>
          <a:ext cx="1293239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>
              <a:solidFill>
                <a:srgbClr val="FF0000"/>
              </a:solidFill>
            </a:rPr>
            <a:t>apply phase correction</a:t>
          </a:r>
        </a:p>
        <a:p>
          <a:r>
            <a:rPr lang="en-US" sz="900">
              <a:solidFill>
                <a:srgbClr val="FF0000"/>
              </a:solidFill>
            </a:rPr>
            <a:t>to here (the "point" (pi)</a:t>
          </a:r>
        </a:p>
      </xdr:txBody>
    </xdr:sp>
    <xdr:clientData/>
  </xdr:oneCellAnchor>
  <xdr:oneCellAnchor>
    <xdr:from>
      <xdr:col>18</xdr:col>
      <xdr:colOff>502920</xdr:colOff>
      <xdr:row>17</xdr:row>
      <xdr:rowOff>53340</xdr:rowOff>
    </xdr:from>
    <xdr:ext cx="2941383" cy="65582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538460" y="2255520"/>
          <a:ext cx="2941383" cy="655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@ 0.5</a:t>
          </a:r>
          <a:r>
            <a:rPr lang="en-US" sz="900" baseline="0"/>
            <a:t> waves (linearly polarized and rotated by 90 degrees)</a:t>
          </a:r>
        </a:p>
        <a:p>
          <a:endParaRPr lang="en-US" sz="900" baseline="0"/>
        </a:p>
        <a:p>
          <a:endParaRPr lang="en-US" sz="900" baseline="0"/>
        </a:p>
        <a:p>
          <a:r>
            <a:rPr lang="en-US" sz="900" baseline="0"/>
            <a:t>@ 0.25 waves (circularly polarized)</a:t>
          </a:r>
        </a:p>
      </xdr:txBody>
    </xdr:sp>
    <xdr:clientData/>
  </xdr:oneCellAnchor>
  <xdr:twoCellAnchor>
    <xdr:from>
      <xdr:col>21</xdr:col>
      <xdr:colOff>365760</xdr:colOff>
      <xdr:row>8</xdr:row>
      <xdr:rowOff>83820</xdr:rowOff>
    </xdr:from>
    <xdr:to>
      <xdr:col>21</xdr:col>
      <xdr:colOff>365760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2230100" y="1120140"/>
          <a:ext cx="0" cy="563880"/>
        </a:xfrm>
        <a:prstGeom prst="straightConnector1">
          <a:avLst/>
        </a:prstGeom>
        <a:ln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49530</xdr:colOff>
      <xdr:row>76</xdr:row>
      <xdr:rowOff>95250</xdr:rowOff>
    </xdr:from>
    <xdr:to>
      <xdr:col>20</xdr:col>
      <xdr:colOff>323850</xdr:colOff>
      <xdr:row>97</xdr:row>
      <xdr:rowOff>118110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2</xdr:row>
      <xdr:rowOff>114300</xdr:rowOff>
    </xdr:from>
    <xdr:to>
      <xdr:col>13</xdr:col>
      <xdr:colOff>403860</xdr:colOff>
      <xdr:row>33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491490</xdr:colOff>
      <xdr:row>3</xdr:row>
      <xdr:rowOff>57150</xdr:rowOff>
    </xdr:from>
    <xdr:to>
      <xdr:col>23</xdr:col>
      <xdr:colOff>426720</xdr:colOff>
      <xdr:row>34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327660</xdr:colOff>
      <xdr:row>12</xdr:row>
      <xdr:rowOff>30480</xdr:rowOff>
    </xdr:from>
    <xdr:ext cx="4334520" cy="164237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675120" y="1584960"/>
          <a:ext cx="4334520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minor</a:t>
          </a:r>
          <a:r>
            <a:rPr lang="en-US" sz="1100" baseline="0"/>
            <a:t> issues</a:t>
          </a:r>
        </a:p>
        <a:p>
          <a:r>
            <a:rPr lang="en-US" sz="1100" baseline="0"/>
            <a:t>--&gt; UNCP behavior from 0 to 0.6 V?? - not smooth</a:t>
          </a:r>
        </a:p>
        <a:p>
          <a:r>
            <a:rPr lang="en-US" sz="1100" baseline="0"/>
            <a:t>--&gt; we dip to lower value at higher voltages</a:t>
          </a:r>
        </a:p>
        <a:p>
          <a:r>
            <a:rPr lang="en-US" sz="1100" baseline="0"/>
            <a:t> (Thorlabs Temp = 25 C, UNCP Temp ~ 20 C)</a:t>
          </a:r>
        </a:p>
        <a:p>
          <a:r>
            <a:rPr lang="en-US" sz="1100" baseline="0"/>
            <a:t>--&gt; Thorlabs has a driver that goes to 25V rms - we can only go to 7.1 V </a:t>
          </a:r>
        </a:p>
        <a:p>
          <a:r>
            <a:rPr lang="en-US" sz="1100" baseline="0"/>
            <a:t>      must get an amplifer to extend voltage range</a:t>
          </a:r>
        </a:p>
        <a:p>
          <a:endParaRPr lang="en-US" sz="1100" baseline="0"/>
        </a:p>
        <a:p>
          <a:r>
            <a:rPr lang="en-US" sz="1100" baseline="0"/>
            <a:t>But, it is clear we have a much smoother curve and data taken at</a:t>
          </a:r>
        </a:p>
        <a:p>
          <a:r>
            <a:rPr lang="en-US" sz="1100" baseline="0"/>
            <a:t>larger step size.</a:t>
          </a:r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72390</xdr:rowOff>
    </xdr:from>
    <xdr:to>
      <xdr:col>7</xdr:col>
      <xdr:colOff>419100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601980</xdr:colOff>
      <xdr:row>3</xdr:row>
      <xdr:rowOff>179070</xdr:rowOff>
    </xdr:from>
    <xdr:to>
      <xdr:col>11</xdr:col>
      <xdr:colOff>60960</xdr:colOff>
      <xdr:row>25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102870</xdr:rowOff>
    </xdr:from>
    <xdr:to>
      <xdr:col>13</xdr:col>
      <xdr:colOff>541020</xdr:colOff>
      <xdr:row>28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76200</xdr:colOff>
      <xdr:row>5</xdr:row>
      <xdr:rowOff>22860</xdr:rowOff>
    </xdr:from>
    <xdr:ext cx="3037050" cy="95346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3733800" y="937260"/>
          <a:ext cx="3037050" cy="95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ysClr val="windowText" lastClr="000000"/>
              </a:solidFill>
            </a:rPr>
            <a:t>How was</a:t>
          </a:r>
          <a:r>
            <a:rPr lang="en-US" sz="1100" b="1" baseline="0">
              <a:solidFill>
                <a:sysClr val="windowText" lastClr="000000"/>
              </a:solidFill>
            </a:rPr>
            <a:t>Thorlabs data acquired?</a:t>
          </a:r>
        </a:p>
        <a:p>
          <a:r>
            <a:rPr lang="en-US" sz="1100" b="1" baseline="0">
              <a:solidFill>
                <a:sysClr val="windowText" lastClr="000000"/>
              </a:solidFill>
            </a:rPr>
            <a:t>Thorlabs data looks bad from 1.08 to 1.78 V</a:t>
          </a:r>
        </a:p>
        <a:p>
          <a:endParaRPr lang="en-US" sz="1100" baseline="0">
            <a:solidFill>
              <a:sysClr val="windowText" lastClr="000000"/>
            </a:solidFill>
          </a:endParaRPr>
        </a:p>
        <a:p>
          <a:r>
            <a:rPr lang="en-US" sz="1100" baseline="0">
              <a:solidFill>
                <a:sysClr val="windowText" lastClr="000000"/>
              </a:solidFill>
            </a:rPr>
            <a:t>Note: I chose not to use logarithmic voltage scale.</a:t>
          </a:r>
        </a:p>
        <a:p>
          <a:r>
            <a:rPr lang="en-US" sz="1100" baseline="0">
              <a:solidFill>
                <a:sysClr val="windowText" lastClr="000000"/>
              </a:solidFill>
            </a:rPr>
            <a:t>I do not see why one would choose such.</a:t>
          </a:r>
        </a:p>
      </xdr:txBody>
    </xdr:sp>
    <xdr:clientData/>
  </xdr:oneCellAnchor>
  <xdr:twoCellAnchor>
    <xdr:from>
      <xdr:col>8</xdr:col>
      <xdr:colOff>533400</xdr:colOff>
      <xdr:row>6</xdr:row>
      <xdr:rowOff>87630</xdr:rowOff>
    </xdr:from>
    <xdr:to>
      <xdr:col>15</xdr:col>
      <xdr:colOff>495300</xdr:colOff>
      <xdr:row>21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0.69097</cdr:x>
      <cdr:y>0.40324</cdr:y>
    </cdr:from>
    <cdr:to>
      <cdr:x>0.80642</cdr:x>
      <cdr:y>0.51118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D843C77-2962-60AD-AB05-32154FC2C637}"/>
            </a:ext>
          </a:extLst>
        </cdr:cNvPr>
        <cdr:cNvSpPr txBox="1"/>
      </cdr:nvSpPr>
      <cdr:spPr>
        <a:xfrm xmlns:a="http://schemas.openxmlformats.org/drawingml/2006/main">
          <a:off x="6065520" y="1992630"/>
          <a:ext cx="1013460" cy="5334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>
            <a:spcAft>
              <a:spcPts val="600"/>
            </a:spcAft>
          </a:pPr>
          <a:r>
            <a:rPr lang="en-US" sz="1100"/>
            <a:t>UNCP (~20</a:t>
          </a:r>
          <a:r>
            <a:rPr lang="en-US" sz="1100" baseline="30000"/>
            <a:t>o</a:t>
          </a:r>
          <a:r>
            <a:rPr lang="en-US" sz="1100"/>
            <a:t> C)</a:t>
          </a:r>
        </a:p>
        <a:p xmlns:a="http://schemas.openxmlformats.org/drawingml/2006/main">
          <a:pPr>
            <a:spcAft>
              <a:spcPts val="600"/>
            </a:spcAft>
          </a:pPr>
          <a:r>
            <a:rPr lang="en-US" sz="1100"/>
            <a:t>Thorlabs (25</a:t>
          </a:r>
          <a:r>
            <a:rPr lang="en-US" sz="1100" baseline="30000"/>
            <a:t>o</a:t>
          </a:r>
          <a:r>
            <a:rPr lang="en-US" sz="1100"/>
            <a:t>C)</a:t>
          </a:r>
        </a:p>
      </cdr:txBody>
    </cdr:sp>
  </cdr:relSizeAnchor>
  <cdr:relSizeAnchor xmlns:cdr="http://schemas.openxmlformats.org/drawingml/2006/chartDrawing">
    <cdr:from>
      <cdr:x>0.61806</cdr:x>
      <cdr:y>0.32614</cdr:y>
    </cdr:from>
    <cdr:to>
      <cdr:x>0.75694</cdr:x>
      <cdr:y>0.40632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B819C81-4B63-3CDA-8820-921765CA86B8}"/>
            </a:ext>
          </a:extLst>
        </cdr:cNvPr>
        <cdr:cNvSpPr txBox="1"/>
      </cdr:nvSpPr>
      <cdr:spPr>
        <a:xfrm xmlns:a="http://schemas.openxmlformats.org/drawingml/2006/main">
          <a:off x="5425440" y="1611630"/>
          <a:ext cx="1219200" cy="3962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LCC1111U-A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91</xdr:row>
      <xdr:rowOff>41910</xdr:rowOff>
    </xdr:from>
    <xdr:to>
      <xdr:col>21</xdr:col>
      <xdr:colOff>38100</xdr:colOff>
      <xdr:row>106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220980</xdr:colOff>
      <xdr:row>6</xdr:row>
      <xdr:rowOff>3810</xdr:rowOff>
    </xdr:from>
    <xdr:to>
      <xdr:col>12</xdr:col>
      <xdr:colOff>525780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579120</xdr:colOff>
      <xdr:row>5</xdr:row>
      <xdr:rowOff>125730</xdr:rowOff>
    </xdr:from>
    <xdr:to>
      <xdr:col>20</xdr:col>
      <xdr:colOff>274320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190500</xdr:colOff>
      <xdr:row>8</xdr:row>
      <xdr:rowOff>15240</xdr:rowOff>
    </xdr:from>
    <xdr:ext cx="2838021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457700" y="1478280"/>
          <a:ext cx="283802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another</a:t>
          </a:r>
          <a:r>
            <a:rPr lang="en-US" sz="1100" baseline="0"/>
            <a:t> "double phase correction"</a:t>
          </a:r>
        </a:p>
        <a:p>
          <a:r>
            <a:rPr lang="en-US" sz="1100" baseline="0"/>
            <a:t>I wonder if a 520nm laser will also require two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91</xdr:row>
      <xdr:rowOff>41910</xdr:rowOff>
    </xdr:from>
    <xdr:to>
      <xdr:col>21</xdr:col>
      <xdr:colOff>38100</xdr:colOff>
      <xdr:row>106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419100</xdr:colOff>
      <xdr:row>73</xdr:row>
      <xdr:rowOff>34290</xdr:rowOff>
    </xdr:from>
    <xdr:to>
      <xdr:col>20</xdr:col>
      <xdr:colOff>114300</xdr:colOff>
      <xdr:row>88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312420</xdr:colOff>
      <xdr:row>18</xdr:row>
      <xdr:rowOff>19050</xdr:rowOff>
    </xdr:from>
    <xdr:to>
      <xdr:col>24</xdr:col>
      <xdr:colOff>7620</xdr:colOff>
      <xdr:row>33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388620</xdr:colOff>
      <xdr:row>5</xdr:row>
      <xdr:rowOff>19050</xdr:rowOff>
    </xdr:from>
    <xdr:to>
      <xdr:col>33</xdr:col>
      <xdr:colOff>548640</xdr:colOff>
      <xdr:row>29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30480</xdr:colOff>
      <xdr:row>91</xdr:row>
      <xdr:rowOff>53340</xdr:rowOff>
    </xdr:from>
    <xdr:to>
      <xdr:col>13</xdr:col>
      <xdr:colOff>335280</xdr:colOff>
      <xdr:row>106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45720</xdr:colOff>
      <xdr:row>4</xdr:row>
      <xdr:rowOff>45720</xdr:rowOff>
    </xdr:from>
    <xdr:to>
      <xdr:col>21</xdr:col>
      <xdr:colOff>350520</xdr:colOff>
      <xdr:row>19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350520</xdr:colOff>
      <xdr:row>2</xdr:row>
      <xdr:rowOff>122873</xdr:rowOff>
    </xdr:from>
    <xdr:to>
      <xdr:col>21</xdr:col>
      <xdr:colOff>322898</xdr:colOff>
      <xdr:row>26</xdr:row>
      <xdr:rowOff>107633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247650</xdr:colOff>
      <xdr:row>30</xdr:row>
      <xdr:rowOff>0</xdr:rowOff>
    </xdr:from>
    <xdr:to>
      <xdr:col>19</xdr:col>
      <xdr:colOff>552450</xdr:colOff>
      <xdr:row>53</xdr:row>
      <xdr:rowOff>59055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211456</xdr:colOff>
      <xdr:row>11</xdr:row>
      <xdr:rowOff>31432</xdr:rowOff>
    </xdr:from>
    <xdr:to>
      <xdr:col>11</xdr:col>
      <xdr:colOff>44769</xdr:colOff>
      <xdr:row>29</xdr:row>
      <xdr:rowOff>31432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66</xdr:row>
      <xdr:rowOff>80010</xdr:rowOff>
    </xdr:from>
    <xdr:to>
      <xdr:col>10</xdr:col>
      <xdr:colOff>190500</xdr:colOff>
      <xdr:row>81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2E1CA-9B77-0B1C-4BBF-C628AC560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411480</xdr:colOff>
      <xdr:row>7</xdr:row>
      <xdr:rowOff>140970</xdr:rowOff>
    </xdr:from>
    <xdr:to>
      <xdr:col>17</xdr:col>
      <xdr:colOff>106680</xdr:colOff>
      <xdr:row>22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73172D-68CB-5E28-4DC1-2B6E03B25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104774</xdr:colOff>
      <xdr:row>4</xdr:row>
      <xdr:rowOff>180974</xdr:rowOff>
    </xdr:from>
    <xdr:to>
      <xdr:col>17</xdr:col>
      <xdr:colOff>400049</xdr:colOff>
      <xdr:row>18</xdr:row>
      <xdr:rowOff>61911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2CAD3C-E0DF-0325-10C4-58DCEBBE4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27</xdr:row>
      <xdr:rowOff>47625</xdr:rowOff>
    </xdr:from>
    <xdr:to>
      <xdr:col>17</xdr:col>
      <xdr:colOff>390525</xdr:colOff>
      <xdr:row>40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C2E0D9-312A-357E-3440-2DE1336E9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45</xdr:row>
      <xdr:rowOff>100012</xdr:rowOff>
    </xdr:from>
    <xdr:to>
      <xdr:col>17</xdr:col>
      <xdr:colOff>495300</xdr:colOff>
      <xdr:row>59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F7430D-FEC9-4A1E-F300-6D0D68C8B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ravemailuncp-my.sharepoint.com/personal/brandonw_uncp_edu/Documents/Desktop/LCVR%20LCLV/LCVR%20data/LC1111U-A%20RvsV%20Thorla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54.3nm _20.5 C"/>
      <sheetName val="Thorlabs LCVR data"/>
      <sheetName val="Sheet1"/>
    </sheetNames>
    <sheetDataSet>
      <sheetData sheetId="0">
        <row r="2">
          <cell r="L2" t="str">
            <v>R_waves</v>
          </cell>
        </row>
        <row r="3">
          <cell r="K3">
            <v>3.5355339059327376E-2</v>
          </cell>
          <cell r="L3">
            <v>0.74916013038204499</v>
          </cell>
        </row>
        <row r="4">
          <cell r="K4">
            <v>7.0710678118654752E-2</v>
          </cell>
          <cell r="L4">
            <v>0.74890358663058676</v>
          </cell>
        </row>
        <row r="5">
          <cell r="K5">
            <v>0.10606601717798211</v>
          </cell>
          <cell r="L5">
            <v>0.7487753137282076</v>
          </cell>
        </row>
        <row r="6">
          <cell r="K6">
            <v>0.1414213562373095</v>
          </cell>
          <cell r="L6">
            <v>0.74851876545346774</v>
          </cell>
        </row>
        <row r="7">
          <cell r="K7">
            <v>0.17677669529663687</v>
          </cell>
          <cell r="L7">
            <v>0.74830497231265258</v>
          </cell>
        </row>
        <row r="8">
          <cell r="K8">
            <v>0.21213203435596423</v>
          </cell>
          <cell r="L8">
            <v>0.74824925584295687</v>
          </cell>
        </row>
        <row r="9">
          <cell r="K9">
            <v>0.24748737341529159</v>
          </cell>
          <cell r="L9">
            <v>0.74787737646876107</v>
          </cell>
        </row>
        <row r="10">
          <cell r="K10">
            <v>0.28284271247461901</v>
          </cell>
          <cell r="L10">
            <v>0.74752265828978148</v>
          </cell>
        </row>
        <row r="11">
          <cell r="K11">
            <v>0.31819805153394637</v>
          </cell>
          <cell r="L11">
            <v>0.74712552259842335</v>
          </cell>
        </row>
        <row r="12">
          <cell r="K12">
            <v>0.35355339059327373</v>
          </cell>
          <cell r="L12">
            <v>0.74631370783523621</v>
          </cell>
        </row>
        <row r="13">
          <cell r="K13">
            <v>0.37123106012293744</v>
          </cell>
          <cell r="L13">
            <v>0.74585553817392147</v>
          </cell>
        </row>
        <row r="14">
          <cell r="K14">
            <v>0.38890872965260115</v>
          </cell>
          <cell r="L14">
            <v>0.74520264374021017</v>
          </cell>
        </row>
        <row r="15">
          <cell r="K15">
            <v>0.40658639918226486</v>
          </cell>
          <cell r="L15">
            <v>0.74451879918229558</v>
          </cell>
        </row>
        <row r="16">
          <cell r="K16">
            <v>0.42426406871192857</v>
          </cell>
          <cell r="L16">
            <v>0.74378116200089806</v>
          </cell>
        </row>
        <row r="17">
          <cell r="K17">
            <v>0.44194173824159227</v>
          </cell>
          <cell r="L17">
            <v>0.74288369994849768</v>
          </cell>
        </row>
        <row r="18">
          <cell r="K18">
            <v>0.45961940777125593</v>
          </cell>
          <cell r="L18">
            <v>0.74169673040201589</v>
          </cell>
        </row>
        <row r="19">
          <cell r="K19">
            <v>0.47729707730091964</v>
          </cell>
          <cell r="L19">
            <v>0.74019917437187377</v>
          </cell>
        </row>
        <row r="20">
          <cell r="K20">
            <v>0.49497474683058335</v>
          </cell>
          <cell r="L20">
            <v>0.7383496031319593</v>
          </cell>
        </row>
        <row r="21">
          <cell r="K21">
            <v>0.51265241636024705</v>
          </cell>
          <cell r="L21">
            <v>0.73606425138908538</v>
          </cell>
        </row>
        <row r="22">
          <cell r="K22">
            <v>0.53033008588991082</v>
          </cell>
          <cell r="L22">
            <v>0.73293517034958267</v>
          </cell>
        </row>
        <row r="23">
          <cell r="K23">
            <v>0.54800775541957447</v>
          </cell>
          <cell r="L23">
            <v>0.72886576701709238</v>
          </cell>
        </row>
        <row r="24">
          <cell r="K24">
            <v>0.56568542494923812</v>
          </cell>
          <cell r="L24">
            <v>0.72432456279693913</v>
          </cell>
        </row>
        <row r="25">
          <cell r="K25">
            <v>0.58336309447890189</v>
          </cell>
          <cell r="L25">
            <v>0.71855679997729272</v>
          </cell>
        </row>
        <row r="26">
          <cell r="K26">
            <v>0.60104076400856554</v>
          </cell>
          <cell r="L26">
            <v>0.71212165853616571</v>
          </cell>
        </row>
        <row r="27">
          <cell r="K27">
            <v>0.61871843353822931</v>
          </cell>
          <cell r="L27">
            <v>0.7054261050379822</v>
          </cell>
        </row>
        <row r="28">
          <cell r="K28">
            <v>0.63639610306789296</v>
          </cell>
          <cell r="L28">
            <v>0.69795989754024368</v>
          </cell>
        </row>
        <row r="29">
          <cell r="K29">
            <v>0.65407377259755672</v>
          </cell>
          <cell r="L29">
            <v>0.6900195551918068</v>
          </cell>
        </row>
        <row r="30">
          <cell r="K30">
            <v>0.67175144212722038</v>
          </cell>
          <cell r="L30">
            <v>0.68120948986135099</v>
          </cell>
        </row>
        <row r="31">
          <cell r="K31">
            <v>0.68942911165688414</v>
          </cell>
          <cell r="L31">
            <v>0.67312381489200079</v>
          </cell>
        </row>
        <row r="32">
          <cell r="K32">
            <v>0.70710678118654779</v>
          </cell>
          <cell r="L32">
            <v>0.66419864692338293</v>
          </cell>
        </row>
        <row r="33">
          <cell r="K33">
            <v>0.72478445071621145</v>
          </cell>
          <cell r="L33">
            <v>0.65470289981229202</v>
          </cell>
        </row>
        <row r="34">
          <cell r="K34">
            <v>0.74246212024587499</v>
          </cell>
          <cell r="L34">
            <v>0.64507588266502414</v>
          </cell>
        </row>
        <row r="35">
          <cell r="K35">
            <v>0.76013978977553864</v>
          </cell>
          <cell r="L35">
            <v>0.63612371717194327</v>
          </cell>
        </row>
        <row r="36">
          <cell r="K36">
            <v>0.7778174593052023</v>
          </cell>
          <cell r="L36">
            <v>0.62744211959970908</v>
          </cell>
        </row>
        <row r="37">
          <cell r="K37">
            <v>0.79549512883486595</v>
          </cell>
          <cell r="L37">
            <v>0.61770844882835985</v>
          </cell>
        </row>
        <row r="38">
          <cell r="K38">
            <v>0.81317279836452949</v>
          </cell>
          <cell r="L38">
            <v>0.60807297371722113</v>
          </cell>
        </row>
        <row r="39">
          <cell r="K39">
            <v>0.83085046789419315</v>
          </cell>
          <cell r="L39">
            <v>0.59919807829963379</v>
          </cell>
        </row>
        <row r="40">
          <cell r="K40">
            <v>0.8485281374238568</v>
          </cell>
          <cell r="L40">
            <v>0.59006533110338111</v>
          </cell>
        </row>
        <row r="41">
          <cell r="K41">
            <v>0.86620580695352045</v>
          </cell>
          <cell r="L41">
            <v>0.58035616077761654</v>
          </cell>
        </row>
        <row r="42">
          <cell r="K42">
            <v>0.88388347648318399</v>
          </cell>
          <cell r="L42">
            <v>0.57093920096063766</v>
          </cell>
        </row>
        <row r="43">
          <cell r="K43">
            <v>0.90156114601284765</v>
          </cell>
          <cell r="L43">
            <v>0.56152058148841588</v>
          </cell>
        </row>
        <row r="44">
          <cell r="K44">
            <v>0.9192388155425113</v>
          </cell>
          <cell r="L44">
            <v>0.5528442765004814</v>
          </cell>
        </row>
        <row r="45">
          <cell r="K45">
            <v>0.93691648507217495</v>
          </cell>
          <cell r="L45">
            <v>0.54386341823854711</v>
          </cell>
        </row>
        <row r="46">
          <cell r="K46">
            <v>0.9545941546018385</v>
          </cell>
          <cell r="L46">
            <v>0.53453752137260946</v>
          </cell>
        </row>
        <row r="47">
          <cell r="K47">
            <v>0.97227182413150215</v>
          </cell>
          <cell r="L47">
            <v>0.52336864635919067</v>
          </cell>
        </row>
        <row r="48">
          <cell r="K48">
            <v>0.9899494936611658</v>
          </cell>
          <cell r="L48">
            <v>0.51315803450232311</v>
          </cell>
        </row>
        <row r="49">
          <cell r="K49">
            <v>1.0076271631908293</v>
          </cell>
          <cell r="L49">
            <v>0.50607796137802896</v>
          </cell>
        </row>
        <row r="50">
          <cell r="K50">
            <v>1.025304832720493</v>
          </cell>
          <cell r="L50">
            <v>0.5</v>
          </cell>
        </row>
        <row r="51">
          <cell r="K51">
            <v>1.0429825022501567</v>
          </cell>
          <cell r="L51">
            <v>0.48416387966035312</v>
          </cell>
        </row>
        <row r="52">
          <cell r="K52">
            <v>1.0606601717798203</v>
          </cell>
          <cell r="L52">
            <v>0.47833913911657233</v>
          </cell>
        </row>
        <row r="53">
          <cell r="K53">
            <v>1.078337841309484</v>
          </cell>
          <cell r="L53">
            <v>0.46929920158089072</v>
          </cell>
        </row>
        <row r="54">
          <cell r="K54">
            <v>1.0960155108391476</v>
          </cell>
          <cell r="L54">
            <v>0.45893477383389691</v>
          </cell>
        </row>
        <row r="55">
          <cell r="K55">
            <v>1.113693180368811</v>
          </cell>
          <cell r="L55">
            <v>0.4514467251425679</v>
          </cell>
        </row>
        <row r="56">
          <cell r="K56">
            <v>1.1313708498984747</v>
          </cell>
          <cell r="L56">
            <v>0.44290491288544864</v>
          </cell>
        </row>
        <row r="57">
          <cell r="K57">
            <v>1.1490485194281383</v>
          </cell>
          <cell r="L57">
            <v>0.43426510702330412</v>
          </cell>
        </row>
        <row r="58">
          <cell r="K58">
            <v>1.166726188957802</v>
          </cell>
          <cell r="L58">
            <v>0.426984696419976</v>
          </cell>
        </row>
        <row r="59">
          <cell r="K59">
            <v>1.1844038584874657</v>
          </cell>
          <cell r="L59">
            <v>0.41948294454431406</v>
          </cell>
        </row>
        <row r="60">
          <cell r="K60">
            <v>1.2020815280171293</v>
          </cell>
          <cell r="L60">
            <v>0.41034089304204652</v>
          </cell>
        </row>
        <row r="61">
          <cell r="K61">
            <v>1.219759197546793</v>
          </cell>
          <cell r="L61">
            <v>0.40249546186906349</v>
          </cell>
        </row>
        <row r="62">
          <cell r="K62">
            <v>1.2374368670764566</v>
          </cell>
          <cell r="L62">
            <v>0.39488758027605675</v>
          </cell>
        </row>
        <row r="63">
          <cell r="K63">
            <v>1.25511453660612</v>
          </cell>
          <cell r="L63">
            <v>0.38719906095261325</v>
          </cell>
        </row>
        <row r="64">
          <cell r="K64">
            <v>1.2727922061357837</v>
          </cell>
          <cell r="L64">
            <v>0.37972922831517503</v>
          </cell>
        </row>
        <row r="65">
          <cell r="K65">
            <v>1.2904698756654474</v>
          </cell>
          <cell r="L65">
            <v>0.37328823328834487</v>
          </cell>
        </row>
        <row r="66">
          <cell r="K66">
            <v>1.308147545195111</v>
          </cell>
          <cell r="L66">
            <v>0.36597186197964671</v>
          </cell>
        </row>
        <row r="67">
          <cell r="K67">
            <v>1.3258252147247747</v>
          </cell>
          <cell r="L67">
            <v>0.35841095431906811</v>
          </cell>
        </row>
        <row r="68">
          <cell r="K68">
            <v>1.3435028842544383</v>
          </cell>
          <cell r="L68">
            <v>0.35182223628698145</v>
          </cell>
        </row>
        <row r="69">
          <cell r="K69">
            <v>1.361180553784102</v>
          </cell>
          <cell r="L69">
            <v>0.34489063631829442</v>
          </cell>
        </row>
        <row r="70">
          <cell r="K70">
            <v>1.3788582233137654</v>
          </cell>
          <cell r="L70">
            <v>0.33850603711003519</v>
          </cell>
        </row>
        <row r="71">
          <cell r="K71">
            <v>1.396535892843429</v>
          </cell>
          <cell r="L71">
            <v>0.33207425381626243</v>
          </cell>
        </row>
        <row r="72">
          <cell r="K72">
            <v>1.4142135623730927</v>
          </cell>
          <cell r="L72">
            <v>0.32682969269558482</v>
          </cell>
        </row>
        <row r="73">
          <cell r="K73">
            <v>1.4318912319027564</v>
          </cell>
          <cell r="L73">
            <v>0.32027136784456361</v>
          </cell>
        </row>
        <row r="74">
          <cell r="K74">
            <v>1.44956890143242</v>
          </cell>
          <cell r="L74">
            <v>0.3143008347535734</v>
          </cell>
        </row>
        <row r="75">
          <cell r="K75">
            <v>1.4849242404917473</v>
          </cell>
          <cell r="L75">
            <v>0.30347731859558974</v>
          </cell>
        </row>
        <row r="76">
          <cell r="K76">
            <v>1.5202795795510744</v>
          </cell>
          <cell r="L76">
            <v>0.29205449095507696</v>
          </cell>
        </row>
        <row r="77">
          <cell r="K77">
            <v>1.5379572490807381</v>
          </cell>
          <cell r="L77">
            <v>0.28717803173124679</v>
          </cell>
        </row>
        <row r="78">
          <cell r="K78">
            <v>1.5556349186104017</v>
          </cell>
          <cell r="L78">
            <v>0.28196557556252</v>
          </cell>
        </row>
        <row r="79">
          <cell r="K79">
            <v>1.5733125881400654</v>
          </cell>
          <cell r="L79">
            <v>0.2778261815752861</v>
          </cell>
        </row>
        <row r="80">
          <cell r="K80">
            <v>1.590990257669729</v>
          </cell>
          <cell r="L80">
            <v>0.27201203934511731</v>
          </cell>
        </row>
        <row r="81">
          <cell r="K81">
            <v>1.6086679271993927</v>
          </cell>
          <cell r="L81">
            <v>0.26745695331954683</v>
          </cell>
        </row>
        <row r="82">
          <cell r="K82">
            <v>1.6263455967290563</v>
          </cell>
          <cell r="L82">
            <v>0.26287340278221727</v>
          </cell>
        </row>
        <row r="83">
          <cell r="K83">
            <v>1.64402326625872</v>
          </cell>
          <cell r="L83">
            <v>0.25927262791466293</v>
          </cell>
        </row>
        <row r="84">
          <cell r="K84">
            <v>1.6617009357883834</v>
          </cell>
          <cell r="L84">
            <v>0.25468862853080843</v>
          </cell>
        </row>
        <row r="85">
          <cell r="K85">
            <v>1.6970562748477107</v>
          </cell>
          <cell r="L85">
            <v>0.24611647631686545</v>
          </cell>
        </row>
        <row r="86">
          <cell r="K86">
            <v>1.732411613907038</v>
          </cell>
          <cell r="L86">
            <v>0.23885895015365682</v>
          </cell>
        </row>
        <row r="87">
          <cell r="K87">
            <v>1.7677669529663653</v>
          </cell>
          <cell r="L87">
            <v>0.23117579385322765</v>
          </cell>
        </row>
        <row r="88">
          <cell r="K88">
            <v>1.8031222920256924</v>
          </cell>
          <cell r="L88">
            <v>0.22491441726657641</v>
          </cell>
        </row>
        <row r="89">
          <cell r="K89">
            <v>1.8384776310850197</v>
          </cell>
          <cell r="L89">
            <v>0.21828007138375741</v>
          </cell>
        </row>
        <row r="90">
          <cell r="K90">
            <v>1.873832970144347</v>
          </cell>
          <cell r="L90">
            <v>0.21161752874566811</v>
          </cell>
        </row>
        <row r="91">
          <cell r="K91">
            <v>1.9091883092036743</v>
          </cell>
          <cell r="L91">
            <v>0.20580333408899515</v>
          </cell>
        </row>
        <row r="92">
          <cell r="K92">
            <v>1.9445436482630014</v>
          </cell>
          <cell r="L92">
            <v>0.20066252784221975</v>
          </cell>
        </row>
        <row r="93">
          <cell r="K93">
            <v>1.9798989873223287</v>
          </cell>
          <cell r="L93">
            <v>0.19496445012232763</v>
          </cell>
        </row>
        <row r="94">
          <cell r="K94">
            <v>2.015254326381656</v>
          </cell>
          <cell r="L94">
            <v>0.18993442984658493</v>
          </cell>
        </row>
        <row r="95">
          <cell r="K95">
            <v>2.0506096654409833</v>
          </cell>
          <cell r="L95">
            <v>0.18522749812985737</v>
          </cell>
        </row>
        <row r="96">
          <cell r="K96">
            <v>2.0859650045003106</v>
          </cell>
          <cell r="L96">
            <v>0.18100908815555902</v>
          </cell>
        </row>
        <row r="97">
          <cell r="K97">
            <v>2.1213203435596375</v>
          </cell>
          <cell r="L97">
            <v>0.176387612140714</v>
          </cell>
        </row>
        <row r="98">
          <cell r="K98">
            <v>2.1566756826189648</v>
          </cell>
          <cell r="L98">
            <v>0.17247313914507514</v>
          </cell>
        </row>
        <row r="99">
          <cell r="K99">
            <v>2.1920310216782921</v>
          </cell>
          <cell r="L99">
            <v>0.16858376999066607</v>
          </cell>
        </row>
        <row r="100">
          <cell r="K100">
            <v>2.2273863607376194</v>
          </cell>
          <cell r="L100">
            <v>0.16489796624581857</v>
          </cell>
        </row>
        <row r="101">
          <cell r="K101">
            <v>2.2627416997969467</v>
          </cell>
          <cell r="L101">
            <v>0.1612135334754134</v>
          </cell>
        </row>
        <row r="102">
          <cell r="K102">
            <v>2.298097038856274</v>
          </cell>
          <cell r="L102">
            <v>0.15789558308594664</v>
          </cell>
        </row>
        <row r="103">
          <cell r="K103">
            <v>2.3688077169749286</v>
          </cell>
          <cell r="L103">
            <v>0.15160462595361388</v>
          </cell>
        </row>
        <row r="104">
          <cell r="K104">
            <v>2.4395183950935837</v>
          </cell>
          <cell r="L104">
            <v>0.14612279629432195</v>
          </cell>
        </row>
        <row r="105">
          <cell r="K105">
            <v>2.5102290732122383</v>
          </cell>
          <cell r="L105">
            <v>0.14084633594486126</v>
          </cell>
        </row>
        <row r="106">
          <cell r="K106">
            <v>2.5809397513308934</v>
          </cell>
          <cell r="L106">
            <v>0.13608701450477539</v>
          </cell>
        </row>
        <row r="107">
          <cell r="K107">
            <v>2.651650429449548</v>
          </cell>
          <cell r="L107">
            <v>0.13165268253448872</v>
          </cell>
        </row>
        <row r="108">
          <cell r="K108">
            <v>2.722361107568203</v>
          </cell>
          <cell r="L108">
            <v>0.12747310091436176</v>
          </cell>
        </row>
        <row r="109">
          <cell r="K109">
            <v>2.828427124746185</v>
          </cell>
          <cell r="L109">
            <v>0.12181214075081163</v>
          </cell>
        </row>
        <row r="110">
          <cell r="K110">
            <v>2.9344931419241673</v>
          </cell>
          <cell r="L110">
            <v>0.11660479639766461</v>
          </cell>
        </row>
        <row r="111">
          <cell r="K111">
            <v>3.0405591591021497</v>
          </cell>
          <cell r="L111">
            <v>0.11206130028742843</v>
          </cell>
        </row>
        <row r="112">
          <cell r="K112">
            <v>3.1466251762801321</v>
          </cell>
          <cell r="L112">
            <v>0.10768338230567104</v>
          </cell>
        </row>
        <row r="113">
          <cell r="K113">
            <v>3.2526911934581144</v>
          </cell>
          <cell r="L113">
            <v>0.10387043142101438</v>
          </cell>
        </row>
        <row r="114">
          <cell r="K114">
            <v>3.3587572106360968</v>
          </cell>
          <cell r="L114">
            <v>0.10017806057919676</v>
          </cell>
        </row>
        <row r="115">
          <cell r="K115">
            <v>3.4648232278140791</v>
          </cell>
          <cell r="L115">
            <v>9.6955276569317725E-2</v>
          </cell>
        </row>
        <row r="116">
          <cell r="K116">
            <v>3.5355339059327373</v>
          </cell>
          <cell r="L116">
            <v>9.4840959849757739E-2</v>
          </cell>
        </row>
        <row r="117">
          <cell r="K117">
            <v>3.7123106012293743</v>
          </cell>
          <cell r="L117">
            <v>8.9921072552904366E-2</v>
          </cell>
        </row>
        <row r="118">
          <cell r="K118">
            <v>3.8890872965260113</v>
          </cell>
          <cell r="L118">
            <v>8.551591236393144E-2</v>
          </cell>
        </row>
        <row r="119">
          <cell r="K119">
            <v>4.0658639918226482</v>
          </cell>
          <cell r="L119">
            <v>8.1483850889216919E-2</v>
          </cell>
        </row>
        <row r="120">
          <cell r="K120">
            <v>4.2426406871192848</v>
          </cell>
          <cell r="L120">
            <v>7.7875806041887E-2</v>
          </cell>
        </row>
        <row r="121">
          <cell r="K121">
            <v>4.4194173824159213</v>
          </cell>
          <cell r="L121">
            <v>7.4726960086654304E-2</v>
          </cell>
        </row>
        <row r="122">
          <cell r="K122">
            <v>4.5961940777125587</v>
          </cell>
          <cell r="L122">
            <v>7.1645736624816214E-2</v>
          </cell>
        </row>
        <row r="123">
          <cell r="K123">
            <v>4.7729707730091953</v>
          </cell>
          <cell r="L123">
            <v>6.885245455211024E-2</v>
          </cell>
        </row>
        <row r="124">
          <cell r="K124">
            <v>4.9497474683058327</v>
          </cell>
          <cell r="L124">
            <v>6.6385355450831796E-2</v>
          </cell>
        </row>
        <row r="125">
          <cell r="K125">
            <v>5.1265241636024692</v>
          </cell>
          <cell r="L125">
            <v>6.405206647419999E-2</v>
          </cell>
        </row>
        <row r="126">
          <cell r="K126">
            <v>5.3033008588991057</v>
          </cell>
          <cell r="L126">
            <v>6.1758556554455425E-2</v>
          </cell>
        </row>
        <row r="127">
          <cell r="K127">
            <v>5.4800775541957432</v>
          </cell>
          <cell r="L127">
            <v>5.9720979403583632E-2</v>
          </cell>
        </row>
        <row r="128">
          <cell r="K128">
            <v>5.6568542494923797</v>
          </cell>
          <cell r="L128">
            <v>5.7865256947021861E-2</v>
          </cell>
        </row>
        <row r="129">
          <cell r="K129">
            <v>6.0104076400856536</v>
          </cell>
          <cell r="L129">
            <v>5.4382111278369449E-2</v>
          </cell>
        </row>
        <row r="130">
          <cell r="K130">
            <v>6.3639610306789276</v>
          </cell>
          <cell r="L130">
            <v>5.1410857910953359E-2</v>
          </cell>
        </row>
        <row r="131">
          <cell r="K131">
            <v>6.7175144212722007</v>
          </cell>
          <cell r="L131">
            <v>4.8593082169579346E-2</v>
          </cell>
        </row>
        <row r="132">
          <cell r="K132">
            <v>7.0710678118654746</v>
          </cell>
          <cell r="L132">
            <v>4.6153332816530619E-2</v>
          </cell>
        </row>
      </sheetData>
      <sheetData sheetId="1">
        <row r="2">
          <cell r="D2" t="str">
            <v>Retardance 405 nm</v>
          </cell>
        </row>
        <row r="3">
          <cell r="C3">
            <v>0.1</v>
          </cell>
          <cell r="D3">
            <v>1.3243400000000001</v>
          </cell>
        </row>
        <row r="4">
          <cell r="C4">
            <v>0.2</v>
          </cell>
          <cell r="D4">
            <v>1.32544</v>
          </cell>
        </row>
        <row r="5">
          <cell r="C5">
            <v>0.3</v>
          </cell>
          <cell r="D5">
            <v>1.32603</v>
          </cell>
        </row>
        <row r="6">
          <cell r="C6">
            <v>0.4</v>
          </cell>
          <cell r="D6">
            <v>1.32507</v>
          </cell>
        </row>
        <row r="7">
          <cell r="C7">
            <v>0.5</v>
          </cell>
          <cell r="D7">
            <v>1.32317</v>
          </cell>
        </row>
        <row r="8">
          <cell r="C8">
            <v>0.6</v>
          </cell>
          <cell r="D8">
            <v>1.32023</v>
          </cell>
        </row>
        <row r="9">
          <cell r="C9">
            <v>0.7</v>
          </cell>
          <cell r="D9">
            <v>1.31304</v>
          </cell>
        </row>
        <row r="10">
          <cell r="C10">
            <v>0.8</v>
          </cell>
          <cell r="D10">
            <v>1.2852600000000001</v>
          </cell>
        </row>
        <row r="11">
          <cell r="C11">
            <v>0.9</v>
          </cell>
          <cell r="D11">
            <v>1.2179</v>
          </cell>
        </row>
        <row r="12">
          <cell r="C12">
            <v>1</v>
          </cell>
          <cell r="D12">
            <v>1.1523699999999999</v>
          </cell>
        </row>
        <row r="13">
          <cell r="C13">
            <v>1.02</v>
          </cell>
          <cell r="D13">
            <v>1.14317</v>
          </cell>
        </row>
        <row r="14">
          <cell r="C14">
            <v>1.04</v>
          </cell>
          <cell r="D14">
            <v>1.13727</v>
          </cell>
        </row>
        <row r="15">
          <cell r="C15">
            <v>1.06</v>
          </cell>
          <cell r="D15">
            <v>1.13365</v>
          </cell>
        </row>
        <row r="16">
          <cell r="C16">
            <v>1.08</v>
          </cell>
          <cell r="D16">
            <v>1.13147</v>
          </cell>
        </row>
        <row r="17">
          <cell r="C17">
            <v>1.1000000000000001</v>
          </cell>
          <cell r="D17">
            <v>0.86702000000000001</v>
          </cell>
        </row>
        <row r="18">
          <cell r="C18">
            <v>1.1200000000000001</v>
          </cell>
          <cell r="D18">
            <v>0.86270000000000002</v>
          </cell>
        </row>
        <row r="19">
          <cell r="C19">
            <v>1.1399999999999999</v>
          </cell>
          <cell r="D19">
            <v>0.85546999999999995</v>
          </cell>
        </row>
        <row r="20">
          <cell r="C20">
            <v>1.1599999999999999</v>
          </cell>
          <cell r="D20">
            <v>0.84665999999999997</v>
          </cell>
        </row>
        <row r="21">
          <cell r="C21">
            <v>1.18</v>
          </cell>
          <cell r="D21">
            <v>0.83642000000000005</v>
          </cell>
        </row>
        <row r="22">
          <cell r="C22">
            <v>1.2</v>
          </cell>
          <cell r="D22">
            <v>0.82591999999999999</v>
          </cell>
        </row>
        <row r="23">
          <cell r="C23">
            <v>1.22</v>
          </cell>
          <cell r="D23">
            <v>0.81250999999999995</v>
          </cell>
        </row>
        <row r="24">
          <cell r="C24">
            <v>1.24</v>
          </cell>
          <cell r="D24">
            <v>0.79952999999999996</v>
          </cell>
        </row>
        <row r="25">
          <cell r="C25">
            <v>1.26</v>
          </cell>
          <cell r="D25">
            <v>0.78669999999999995</v>
          </cell>
        </row>
        <row r="26">
          <cell r="C26">
            <v>1.28</v>
          </cell>
          <cell r="D26">
            <v>0.77327000000000001</v>
          </cell>
        </row>
        <row r="27">
          <cell r="C27">
            <v>1.3</v>
          </cell>
          <cell r="D27">
            <v>0.7601</v>
          </cell>
        </row>
        <row r="28">
          <cell r="C28">
            <v>1.32</v>
          </cell>
          <cell r="D28">
            <v>0.74685999999999997</v>
          </cell>
        </row>
        <row r="29">
          <cell r="C29">
            <v>1.34</v>
          </cell>
          <cell r="D29">
            <v>0.73316000000000003</v>
          </cell>
        </row>
        <row r="30">
          <cell r="C30">
            <v>1.36</v>
          </cell>
          <cell r="D30">
            <v>0.71950000000000003</v>
          </cell>
        </row>
        <row r="31">
          <cell r="C31">
            <v>1.38</v>
          </cell>
          <cell r="D31">
            <v>0.70591000000000004</v>
          </cell>
        </row>
        <row r="32">
          <cell r="C32">
            <v>1.4</v>
          </cell>
          <cell r="D32">
            <v>0.69188000000000005</v>
          </cell>
        </row>
        <row r="33">
          <cell r="C33">
            <v>1.42</v>
          </cell>
          <cell r="D33">
            <v>0.67891000000000001</v>
          </cell>
        </row>
        <row r="34">
          <cell r="C34">
            <v>1.44</v>
          </cell>
          <cell r="D34">
            <v>0.66547000000000001</v>
          </cell>
        </row>
        <row r="35">
          <cell r="C35">
            <v>1.46</v>
          </cell>
          <cell r="D35">
            <v>0.65308999999999995</v>
          </cell>
        </row>
        <row r="36">
          <cell r="C36">
            <v>1.48</v>
          </cell>
          <cell r="D36">
            <v>0.64075000000000004</v>
          </cell>
        </row>
        <row r="37">
          <cell r="C37">
            <v>1.5</v>
          </cell>
          <cell r="D37">
            <v>0.62878999999999996</v>
          </cell>
        </row>
        <row r="38">
          <cell r="C38">
            <v>1.52</v>
          </cell>
          <cell r="D38">
            <v>0.61853999999999998</v>
          </cell>
        </row>
        <row r="39">
          <cell r="C39">
            <v>1.54</v>
          </cell>
          <cell r="D39">
            <v>0.60618000000000005</v>
          </cell>
        </row>
        <row r="40">
          <cell r="C40">
            <v>1.56</v>
          </cell>
          <cell r="D40">
            <v>0.59499000000000002</v>
          </cell>
        </row>
        <row r="41">
          <cell r="C41">
            <v>1.58</v>
          </cell>
          <cell r="D41">
            <v>0.58253999999999995</v>
          </cell>
        </row>
        <row r="42">
          <cell r="C42">
            <v>1.6</v>
          </cell>
          <cell r="D42">
            <v>0.56993000000000005</v>
          </cell>
        </row>
        <row r="43">
          <cell r="C43">
            <v>1.62</v>
          </cell>
          <cell r="D43">
            <v>0.55881999999999998</v>
          </cell>
        </row>
        <row r="44">
          <cell r="C44">
            <v>1.64</v>
          </cell>
          <cell r="D44">
            <v>0.54657999999999995</v>
          </cell>
        </row>
        <row r="45">
          <cell r="C45">
            <v>1.66</v>
          </cell>
          <cell r="D45">
            <v>0.53676999999999997</v>
          </cell>
        </row>
        <row r="46">
          <cell r="C46">
            <v>1.68</v>
          </cell>
          <cell r="D46">
            <v>0.52695000000000003</v>
          </cell>
        </row>
        <row r="47">
          <cell r="C47">
            <v>1.7</v>
          </cell>
          <cell r="D47">
            <v>0.51800999999999997</v>
          </cell>
        </row>
        <row r="48">
          <cell r="C48">
            <v>1.72</v>
          </cell>
          <cell r="D48">
            <v>0.5</v>
          </cell>
        </row>
        <row r="49">
          <cell r="C49">
            <v>1.74</v>
          </cell>
          <cell r="D49">
            <v>0.49608999999999998</v>
          </cell>
        </row>
        <row r="50">
          <cell r="C50">
            <v>1.76</v>
          </cell>
          <cell r="D50">
            <v>0.49414000000000002</v>
          </cell>
        </row>
        <row r="51">
          <cell r="C51">
            <v>1.78</v>
          </cell>
          <cell r="D51">
            <v>0.49804999999999999</v>
          </cell>
        </row>
        <row r="52">
          <cell r="C52">
            <v>1.8</v>
          </cell>
          <cell r="D52">
            <v>0.48242000000000002</v>
          </cell>
        </row>
        <row r="53">
          <cell r="C53">
            <v>1.82</v>
          </cell>
          <cell r="D53">
            <v>0.46833999999999998</v>
          </cell>
        </row>
        <row r="54">
          <cell r="C54">
            <v>1.84</v>
          </cell>
          <cell r="D54">
            <v>0.46149000000000001</v>
          </cell>
        </row>
        <row r="55">
          <cell r="C55">
            <v>1.86</v>
          </cell>
          <cell r="D55">
            <v>0.45341999999999999</v>
          </cell>
        </row>
        <row r="56">
          <cell r="C56">
            <v>1.88</v>
          </cell>
          <cell r="D56">
            <v>0.44584000000000001</v>
          </cell>
        </row>
        <row r="57">
          <cell r="C57">
            <v>1.9</v>
          </cell>
          <cell r="D57">
            <v>0.43717</v>
          </cell>
        </row>
        <row r="58">
          <cell r="C58">
            <v>1.92</v>
          </cell>
          <cell r="D58">
            <v>0.42749999999999999</v>
          </cell>
        </row>
        <row r="59">
          <cell r="C59">
            <v>1.94</v>
          </cell>
          <cell r="D59">
            <v>0.42083999999999999</v>
          </cell>
        </row>
        <row r="60">
          <cell r="C60">
            <v>1.96</v>
          </cell>
          <cell r="D60">
            <v>0.41683999999999999</v>
          </cell>
        </row>
        <row r="61">
          <cell r="C61">
            <v>1.98</v>
          </cell>
          <cell r="D61">
            <v>0.40854000000000001</v>
          </cell>
        </row>
        <row r="62">
          <cell r="C62">
            <v>2</v>
          </cell>
          <cell r="D62">
            <v>0.40383999999999998</v>
          </cell>
        </row>
        <row r="63">
          <cell r="C63">
            <v>2.02</v>
          </cell>
          <cell r="D63">
            <v>0.39727000000000001</v>
          </cell>
        </row>
        <row r="64">
          <cell r="C64">
            <v>2.04</v>
          </cell>
          <cell r="D64">
            <v>0.39206999999999997</v>
          </cell>
        </row>
        <row r="65">
          <cell r="C65">
            <v>2.06</v>
          </cell>
          <cell r="D65">
            <v>0.38538</v>
          </cell>
        </row>
        <row r="66">
          <cell r="C66">
            <v>2.08</v>
          </cell>
          <cell r="D66">
            <v>0.37951000000000001</v>
          </cell>
        </row>
        <row r="67">
          <cell r="C67">
            <v>2.1</v>
          </cell>
          <cell r="D67">
            <v>0.37325999999999998</v>
          </cell>
        </row>
        <row r="68">
          <cell r="C68">
            <v>2.12</v>
          </cell>
          <cell r="D68">
            <v>0.36681000000000002</v>
          </cell>
        </row>
        <row r="69">
          <cell r="C69">
            <v>2.14</v>
          </cell>
          <cell r="D69">
            <v>0.36186000000000001</v>
          </cell>
        </row>
        <row r="70">
          <cell r="C70">
            <v>2.16</v>
          </cell>
          <cell r="D70">
            <v>0.35722999999999999</v>
          </cell>
        </row>
        <row r="71">
          <cell r="C71">
            <v>2.1800000000000002</v>
          </cell>
          <cell r="D71">
            <v>0.35274</v>
          </cell>
        </row>
        <row r="72">
          <cell r="C72">
            <v>2.2000000000000002</v>
          </cell>
          <cell r="D72">
            <v>0.34738000000000002</v>
          </cell>
        </row>
        <row r="73">
          <cell r="C73">
            <v>2.2200000000000002</v>
          </cell>
          <cell r="D73">
            <v>0.34326000000000001</v>
          </cell>
        </row>
        <row r="74">
          <cell r="C74">
            <v>2.2400000000000002</v>
          </cell>
          <cell r="D74">
            <v>0.33906999999999998</v>
          </cell>
        </row>
        <row r="75">
          <cell r="C75">
            <v>2.2599999999999998</v>
          </cell>
          <cell r="D75">
            <v>0.33509</v>
          </cell>
        </row>
        <row r="76">
          <cell r="C76">
            <v>2.2799999999999998</v>
          </cell>
          <cell r="D76">
            <v>0.32972000000000001</v>
          </cell>
        </row>
        <row r="77">
          <cell r="C77">
            <v>2.2999999999999998</v>
          </cell>
          <cell r="D77">
            <v>0.32540000000000002</v>
          </cell>
        </row>
        <row r="78">
          <cell r="C78">
            <v>2.3199999999999998</v>
          </cell>
          <cell r="D78">
            <v>0.32189000000000001</v>
          </cell>
        </row>
        <row r="79">
          <cell r="C79">
            <v>2.34</v>
          </cell>
          <cell r="D79">
            <v>0.31808999999999998</v>
          </cell>
        </row>
        <row r="80">
          <cell r="C80">
            <v>2.36</v>
          </cell>
          <cell r="D80">
            <v>0.31441000000000002</v>
          </cell>
        </row>
        <row r="81">
          <cell r="C81">
            <v>2.38</v>
          </cell>
          <cell r="D81">
            <v>0.31083</v>
          </cell>
        </row>
        <row r="82">
          <cell r="C82">
            <v>2.4</v>
          </cell>
          <cell r="D82">
            <v>0.3075</v>
          </cell>
        </row>
        <row r="83">
          <cell r="C83">
            <v>2.42</v>
          </cell>
          <cell r="D83">
            <v>0.30418000000000001</v>
          </cell>
        </row>
        <row r="84">
          <cell r="C84">
            <v>2.44</v>
          </cell>
          <cell r="D84">
            <v>0.30098000000000003</v>
          </cell>
        </row>
        <row r="85">
          <cell r="C85">
            <v>2.46</v>
          </cell>
          <cell r="D85">
            <v>0.29792000000000002</v>
          </cell>
        </row>
        <row r="86">
          <cell r="C86">
            <v>2.48</v>
          </cell>
          <cell r="D86">
            <v>0.29465999999999998</v>
          </cell>
        </row>
        <row r="87">
          <cell r="C87">
            <v>2.5</v>
          </cell>
          <cell r="D87">
            <v>0.29092000000000001</v>
          </cell>
        </row>
        <row r="88">
          <cell r="C88">
            <v>2.52</v>
          </cell>
          <cell r="D88">
            <v>0.28853000000000001</v>
          </cell>
        </row>
        <row r="89">
          <cell r="C89">
            <v>2.54</v>
          </cell>
          <cell r="D89">
            <v>0.28519</v>
          </cell>
        </row>
        <row r="90">
          <cell r="C90">
            <v>2.56</v>
          </cell>
          <cell r="D90">
            <v>0.28215000000000001</v>
          </cell>
        </row>
        <row r="91">
          <cell r="C91">
            <v>2.58</v>
          </cell>
          <cell r="D91">
            <v>0.27978999999999998</v>
          </cell>
        </row>
        <row r="92">
          <cell r="C92">
            <v>2.6</v>
          </cell>
          <cell r="D92">
            <v>0.27759</v>
          </cell>
        </row>
        <row r="93">
          <cell r="C93">
            <v>2.62</v>
          </cell>
          <cell r="D93">
            <v>0.27562999999999999</v>
          </cell>
        </row>
        <row r="94">
          <cell r="C94">
            <v>2.64</v>
          </cell>
          <cell r="D94">
            <v>0.27279999999999999</v>
          </cell>
        </row>
        <row r="95">
          <cell r="C95">
            <v>2.66</v>
          </cell>
          <cell r="D95">
            <v>0.27034999999999998</v>
          </cell>
        </row>
        <row r="96">
          <cell r="C96">
            <v>2.68</v>
          </cell>
          <cell r="D96">
            <v>0.26719999999999999</v>
          </cell>
        </row>
        <row r="97">
          <cell r="C97">
            <v>2.7</v>
          </cell>
          <cell r="D97">
            <v>0.26533000000000001</v>
          </cell>
        </row>
        <row r="98">
          <cell r="C98">
            <v>2.72</v>
          </cell>
          <cell r="D98">
            <v>0.26236999999999999</v>
          </cell>
        </row>
        <row r="99">
          <cell r="C99">
            <v>2.74</v>
          </cell>
          <cell r="D99">
            <v>0.26018999999999998</v>
          </cell>
        </row>
        <row r="100">
          <cell r="C100">
            <v>2.76</v>
          </cell>
          <cell r="D100">
            <v>0.25833</v>
          </cell>
        </row>
        <row r="101">
          <cell r="C101">
            <v>2.78</v>
          </cell>
          <cell r="D101">
            <v>0.25574999999999998</v>
          </cell>
        </row>
        <row r="102">
          <cell r="C102">
            <v>2.8</v>
          </cell>
          <cell r="D102">
            <v>0.25495000000000001</v>
          </cell>
        </row>
        <row r="103">
          <cell r="C103">
            <v>2.82</v>
          </cell>
          <cell r="D103">
            <v>0.25319000000000003</v>
          </cell>
        </row>
        <row r="104">
          <cell r="C104">
            <v>2.84</v>
          </cell>
          <cell r="D104">
            <v>0.25119000000000002</v>
          </cell>
        </row>
        <row r="105">
          <cell r="C105">
            <v>2.86</v>
          </cell>
          <cell r="D105">
            <v>0.24840999999999999</v>
          </cell>
        </row>
        <row r="106">
          <cell r="C106">
            <v>2.88</v>
          </cell>
          <cell r="D106">
            <v>0.24701999999999999</v>
          </cell>
        </row>
        <row r="107">
          <cell r="C107">
            <v>2.9</v>
          </cell>
          <cell r="D107">
            <v>0.24421999999999999</v>
          </cell>
        </row>
        <row r="108">
          <cell r="C108">
            <v>2.92</v>
          </cell>
          <cell r="D108">
            <v>0.24332000000000001</v>
          </cell>
        </row>
        <row r="109">
          <cell r="C109">
            <v>2.94</v>
          </cell>
          <cell r="D109">
            <v>0.24149999999999999</v>
          </cell>
        </row>
        <row r="110">
          <cell r="C110">
            <v>2.96</v>
          </cell>
          <cell r="D110">
            <v>0.24027000000000001</v>
          </cell>
        </row>
        <row r="111">
          <cell r="C111">
            <v>2.98</v>
          </cell>
          <cell r="D111">
            <v>0.2387</v>
          </cell>
        </row>
        <row r="112">
          <cell r="C112">
            <v>3</v>
          </cell>
          <cell r="D112">
            <v>0.23787</v>
          </cell>
        </row>
        <row r="113">
          <cell r="C113">
            <v>3.1</v>
          </cell>
          <cell r="D113">
            <v>0.22988</v>
          </cell>
        </row>
        <row r="114">
          <cell r="C114">
            <v>3.2</v>
          </cell>
          <cell r="D114">
            <v>0.22267000000000001</v>
          </cell>
        </row>
        <row r="115">
          <cell r="C115">
            <v>3.3</v>
          </cell>
          <cell r="D115">
            <v>0.21387</v>
          </cell>
        </row>
        <row r="116">
          <cell r="C116">
            <v>3.4</v>
          </cell>
          <cell r="D116">
            <v>0.20965</v>
          </cell>
        </row>
        <row r="117">
          <cell r="C117">
            <v>3.5</v>
          </cell>
          <cell r="D117">
            <v>0.20421</v>
          </cell>
        </row>
        <row r="118">
          <cell r="C118">
            <v>3.6</v>
          </cell>
          <cell r="D118">
            <v>0.19872999999999999</v>
          </cell>
        </row>
        <row r="119">
          <cell r="C119">
            <v>3.7</v>
          </cell>
          <cell r="D119">
            <v>0.19417000000000001</v>
          </cell>
        </row>
        <row r="120">
          <cell r="C120">
            <v>3.8</v>
          </cell>
          <cell r="D120">
            <v>0.19067999999999999</v>
          </cell>
        </row>
        <row r="121">
          <cell r="C121">
            <v>3.9</v>
          </cell>
          <cell r="D121">
            <v>0.18733</v>
          </cell>
        </row>
        <row r="122">
          <cell r="C122">
            <v>4</v>
          </cell>
          <cell r="D122">
            <v>0.18404999999999999</v>
          </cell>
        </row>
        <row r="123">
          <cell r="C123">
            <v>4.0999999999999996</v>
          </cell>
          <cell r="D123">
            <v>0.18096999999999999</v>
          </cell>
        </row>
        <row r="124">
          <cell r="C124">
            <v>4.2</v>
          </cell>
          <cell r="D124">
            <v>0.17782000000000001</v>
          </cell>
        </row>
        <row r="125">
          <cell r="C125">
            <v>4.3</v>
          </cell>
          <cell r="D125">
            <v>0.17509</v>
          </cell>
        </row>
        <row r="126">
          <cell r="C126">
            <v>4.4000000000000004</v>
          </cell>
          <cell r="D126">
            <v>0.17149</v>
          </cell>
        </row>
        <row r="127">
          <cell r="C127">
            <v>4.5</v>
          </cell>
          <cell r="D127">
            <v>0.16708999999999999</v>
          </cell>
        </row>
        <row r="128">
          <cell r="C128">
            <v>4.5999999999999996</v>
          </cell>
          <cell r="D128">
            <v>0.16614999999999999</v>
          </cell>
        </row>
        <row r="129">
          <cell r="C129">
            <v>4.7</v>
          </cell>
          <cell r="D129">
            <v>0.16667999999999999</v>
          </cell>
        </row>
        <row r="130">
          <cell r="C130">
            <v>4.8</v>
          </cell>
          <cell r="D130">
            <v>0.16567999999999999</v>
          </cell>
        </row>
        <row r="131">
          <cell r="C131">
            <v>4.9000000000000004</v>
          </cell>
          <cell r="D131">
            <v>0.16439000000000001</v>
          </cell>
        </row>
        <row r="132">
          <cell r="C132">
            <v>5</v>
          </cell>
          <cell r="D132">
            <v>0.16195000000000001</v>
          </cell>
        </row>
        <row r="133">
          <cell r="C133">
            <v>5.0999999999999996</v>
          </cell>
          <cell r="D133">
            <v>0.16031000000000001</v>
          </cell>
        </row>
        <row r="134">
          <cell r="C134">
            <v>5.2</v>
          </cell>
          <cell r="D134">
            <v>0.15883</v>
          </cell>
        </row>
        <row r="135">
          <cell r="C135">
            <v>5.3</v>
          </cell>
          <cell r="D135">
            <v>0.15711</v>
          </cell>
        </row>
        <row r="136">
          <cell r="C136">
            <v>5.4</v>
          </cell>
          <cell r="D136">
            <v>0.15559999999999999</v>
          </cell>
        </row>
        <row r="137">
          <cell r="C137">
            <v>5.5</v>
          </cell>
          <cell r="D137">
            <v>0.15415000000000001</v>
          </cell>
        </row>
        <row r="138">
          <cell r="C138">
            <v>5.6</v>
          </cell>
          <cell r="D138">
            <v>0.15329000000000001</v>
          </cell>
        </row>
        <row r="139">
          <cell r="C139">
            <v>5.7</v>
          </cell>
          <cell r="D139">
            <v>0.15226999999999999</v>
          </cell>
        </row>
        <row r="140">
          <cell r="C140">
            <v>5.8</v>
          </cell>
          <cell r="D140">
            <v>0.15076000000000001</v>
          </cell>
        </row>
        <row r="141">
          <cell r="C141">
            <v>5.9</v>
          </cell>
          <cell r="D141">
            <v>0.14871000000000001</v>
          </cell>
        </row>
        <row r="142">
          <cell r="C142">
            <v>6</v>
          </cell>
          <cell r="D142">
            <v>0.14887</v>
          </cell>
        </row>
        <row r="143">
          <cell r="C143">
            <v>6.1</v>
          </cell>
          <cell r="D143">
            <v>0.14763000000000001</v>
          </cell>
        </row>
        <row r="144">
          <cell r="C144">
            <v>6.2</v>
          </cell>
          <cell r="D144">
            <v>0.14615</v>
          </cell>
        </row>
        <row r="145">
          <cell r="C145">
            <v>6.3</v>
          </cell>
          <cell r="D145">
            <v>0.14593999999999999</v>
          </cell>
        </row>
        <row r="146">
          <cell r="C146">
            <v>6.4</v>
          </cell>
          <cell r="D146">
            <v>0.14444000000000001</v>
          </cell>
        </row>
        <row r="147">
          <cell r="C147">
            <v>6.5</v>
          </cell>
          <cell r="D147">
            <v>0.14363999999999999</v>
          </cell>
        </row>
        <row r="148">
          <cell r="C148">
            <v>6.6</v>
          </cell>
          <cell r="D148">
            <v>0.14374999999999999</v>
          </cell>
        </row>
        <row r="149">
          <cell r="C149">
            <v>6.7</v>
          </cell>
          <cell r="D149">
            <v>0.14302000000000001</v>
          </cell>
        </row>
        <row r="150">
          <cell r="C150">
            <v>6.8</v>
          </cell>
          <cell r="D150">
            <v>0.14126</v>
          </cell>
        </row>
        <row r="151">
          <cell r="C151">
            <v>6.9</v>
          </cell>
          <cell r="D151">
            <v>0.14147999999999999</v>
          </cell>
        </row>
        <row r="152">
          <cell r="C152">
            <v>7</v>
          </cell>
          <cell r="D152">
            <v>0.14035</v>
          </cell>
        </row>
        <row r="153">
          <cell r="C153">
            <v>7.1</v>
          </cell>
          <cell r="D153">
            <v>0.13996</v>
          </cell>
        </row>
        <row r="154">
          <cell r="C154">
            <v>7.2</v>
          </cell>
          <cell r="D154">
            <v>0.13891999999999999</v>
          </cell>
        </row>
        <row r="155">
          <cell r="C155">
            <v>7.3</v>
          </cell>
          <cell r="D155">
            <v>0.13835</v>
          </cell>
        </row>
        <row r="156">
          <cell r="C156">
            <v>7.4</v>
          </cell>
          <cell r="D156">
            <v>0.13771</v>
          </cell>
        </row>
        <row r="157">
          <cell r="C157">
            <v>7.5</v>
          </cell>
          <cell r="D157">
            <v>0.13768</v>
          </cell>
        </row>
        <row r="158">
          <cell r="C158">
            <v>7.6</v>
          </cell>
          <cell r="D158">
            <v>0.13750999999999999</v>
          </cell>
        </row>
        <row r="159">
          <cell r="C159">
            <v>7.7</v>
          </cell>
          <cell r="D159">
            <v>0.13517999999999999</v>
          </cell>
        </row>
        <row r="160">
          <cell r="C160">
            <v>7.8</v>
          </cell>
          <cell r="D160">
            <v>0.13694999999999999</v>
          </cell>
        </row>
        <row r="161">
          <cell r="C161">
            <v>7.9</v>
          </cell>
          <cell r="D161">
            <v>0.13616</v>
          </cell>
        </row>
        <row r="162">
          <cell r="C162">
            <v>8</v>
          </cell>
          <cell r="D162">
            <v>0.13550999999999999</v>
          </cell>
        </row>
        <row r="163">
          <cell r="C163">
            <v>8.1</v>
          </cell>
          <cell r="D163">
            <v>0.13521</v>
          </cell>
        </row>
        <row r="164">
          <cell r="C164">
            <v>8.1999999999999993</v>
          </cell>
          <cell r="D164">
            <v>0.13397999999999999</v>
          </cell>
        </row>
        <row r="165">
          <cell r="C165">
            <v>8.3000000000000007</v>
          </cell>
          <cell r="D165">
            <v>0.13408999999999999</v>
          </cell>
        </row>
        <row r="166">
          <cell r="C166">
            <v>8.4</v>
          </cell>
          <cell r="D166">
            <v>0.13450000000000001</v>
          </cell>
        </row>
        <row r="167">
          <cell r="C167">
            <v>8.5</v>
          </cell>
          <cell r="D167">
            <v>0.13400999999999999</v>
          </cell>
        </row>
        <row r="168">
          <cell r="C168">
            <v>8.6</v>
          </cell>
          <cell r="D168">
            <v>0.13331999999999999</v>
          </cell>
        </row>
        <row r="169">
          <cell r="C169">
            <v>8.6999999999999993</v>
          </cell>
          <cell r="D169">
            <v>0.13333</v>
          </cell>
        </row>
        <row r="170">
          <cell r="C170">
            <v>8.8000000000000007</v>
          </cell>
          <cell r="D170">
            <v>0.13250999999999999</v>
          </cell>
        </row>
        <row r="171">
          <cell r="C171">
            <v>8.9</v>
          </cell>
          <cell r="D171">
            <v>0.12598999999999999</v>
          </cell>
        </row>
        <row r="172">
          <cell r="C172">
            <v>9</v>
          </cell>
          <cell r="D172">
            <v>0.128</v>
          </cell>
        </row>
        <row r="173">
          <cell r="C173">
            <v>9.1</v>
          </cell>
          <cell r="D173">
            <v>0.12845999999999999</v>
          </cell>
        </row>
        <row r="174">
          <cell r="C174">
            <v>9.1999999999999993</v>
          </cell>
          <cell r="D174">
            <v>0.12773000000000001</v>
          </cell>
        </row>
        <row r="175">
          <cell r="C175">
            <v>9.3000000000000007</v>
          </cell>
          <cell r="D175">
            <v>0.12826000000000001</v>
          </cell>
        </row>
        <row r="176">
          <cell r="C176">
            <v>9.4</v>
          </cell>
          <cell r="D176">
            <v>0.12851000000000001</v>
          </cell>
        </row>
        <row r="177">
          <cell r="C177">
            <v>9.5</v>
          </cell>
          <cell r="D177">
            <v>0.12783</v>
          </cell>
        </row>
        <row r="178">
          <cell r="C178">
            <v>9.6</v>
          </cell>
          <cell r="D178">
            <v>0.12709000000000001</v>
          </cell>
        </row>
        <row r="179">
          <cell r="C179">
            <v>9.6999999999999993</v>
          </cell>
          <cell r="D179">
            <v>0.12731000000000001</v>
          </cell>
        </row>
        <row r="180">
          <cell r="C180">
            <v>9.8000000000000007</v>
          </cell>
          <cell r="D180">
            <v>0.12731000000000001</v>
          </cell>
        </row>
        <row r="181">
          <cell r="C181">
            <v>9.9</v>
          </cell>
          <cell r="D181">
            <v>0.12703</v>
          </cell>
        </row>
        <row r="182">
          <cell r="C182">
            <v>10</v>
          </cell>
          <cell r="D182">
            <v>0.12728</v>
          </cell>
        </row>
        <row r="183">
          <cell r="C183">
            <v>10.199999999999999</v>
          </cell>
          <cell r="D183">
            <v>0.12609000000000001</v>
          </cell>
        </row>
        <row r="184">
          <cell r="C184">
            <v>10.4</v>
          </cell>
          <cell r="D184">
            <v>0.12676000000000001</v>
          </cell>
        </row>
        <row r="185">
          <cell r="C185">
            <v>10.6</v>
          </cell>
          <cell r="D185">
            <v>0.12698999999999999</v>
          </cell>
        </row>
        <row r="186">
          <cell r="C186">
            <v>10.8</v>
          </cell>
          <cell r="D186">
            <v>0.1258</v>
          </cell>
        </row>
        <row r="187">
          <cell r="C187">
            <v>11</v>
          </cell>
          <cell r="D187">
            <v>0.12619</v>
          </cell>
        </row>
        <row r="188">
          <cell r="C188">
            <v>11.2</v>
          </cell>
          <cell r="D188">
            <v>0.12545999999999999</v>
          </cell>
        </row>
        <row r="189">
          <cell r="C189">
            <v>11.4</v>
          </cell>
          <cell r="D189">
            <v>0.12529999999999999</v>
          </cell>
        </row>
        <row r="190">
          <cell r="C190">
            <v>11.6</v>
          </cell>
          <cell r="D190">
            <v>0.12496</v>
          </cell>
        </row>
        <row r="191">
          <cell r="C191">
            <v>11.8</v>
          </cell>
          <cell r="D191">
            <v>0.12465</v>
          </cell>
        </row>
        <row r="192">
          <cell r="C192">
            <v>12</v>
          </cell>
          <cell r="D192">
            <v>0.12463</v>
          </cell>
        </row>
        <row r="193">
          <cell r="C193">
            <v>12.2</v>
          </cell>
          <cell r="D193">
            <v>0.1246</v>
          </cell>
        </row>
        <row r="194">
          <cell r="C194">
            <v>12.4</v>
          </cell>
          <cell r="D194">
            <v>0.12397</v>
          </cell>
        </row>
        <row r="195">
          <cell r="C195">
            <v>12.6</v>
          </cell>
          <cell r="D195">
            <v>0.12383</v>
          </cell>
        </row>
        <row r="196">
          <cell r="C196">
            <v>12.8</v>
          </cell>
          <cell r="D196">
            <v>0.12288</v>
          </cell>
        </row>
        <row r="197">
          <cell r="C197">
            <v>13</v>
          </cell>
          <cell r="D197">
            <v>0.12262000000000001</v>
          </cell>
        </row>
        <row r="198">
          <cell r="C198">
            <v>13.2</v>
          </cell>
          <cell r="D198">
            <v>0.12298000000000001</v>
          </cell>
        </row>
        <row r="199">
          <cell r="C199">
            <v>13.4</v>
          </cell>
          <cell r="D199">
            <v>0.12188</v>
          </cell>
        </row>
        <row r="200">
          <cell r="C200">
            <v>13.6</v>
          </cell>
          <cell r="D200">
            <v>0.12257999999999999</v>
          </cell>
        </row>
        <row r="201">
          <cell r="C201">
            <v>13.8</v>
          </cell>
          <cell r="D201">
            <v>0.12353</v>
          </cell>
        </row>
        <row r="202">
          <cell r="C202">
            <v>14</v>
          </cell>
          <cell r="D202">
            <v>0.12303</v>
          </cell>
        </row>
        <row r="203">
          <cell r="C203">
            <v>14.2</v>
          </cell>
          <cell r="D203">
            <v>0.12207</v>
          </cell>
        </row>
        <row r="204">
          <cell r="C204">
            <v>14.4</v>
          </cell>
          <cell r="D204">
            <v>0.12207</v>
          </cell>
        </row>
        <row r="205">
          <cell r="C205">
            <v>14.6</v>
          </cell>
          <cell r="D205">
            <v>0.12214999999999999</v>
          </cell>
        </row>
        <row r="206">
          <cell r="C206">
            <v>14.8</v>
          </cell>
          <cell r="D206">
            <v>0.12181</v>
          </cell>
        </row>
        <row r="207">
          <cell r="C207">
            <v>15</v>
          </cell>
          <cell r="D207">
            <v>0.12151000000000001</v>
          </cell>
        </row>
        <row r="208">
          <cell r="C208">
            <v>15.2</v>
          </cell>
          <cell r="D208">
            <v>0.1215</v>
          </cell>
        </row>
        <row r="209">
          <cell r="C209">
            <v>15.4</v>
          </cell>
          <cell r="D209">
            <v>0.12232999999999999</v>
          </cell>
        </row>
        <row r="210">
          <cell r="C210">
            <v>15.6</v>
          </cell>
          <cell r="D210">
            <v>0.12196</v>
          </cell>
        </row>
        <row r="211">
          <cell r="C211">
            <v>15.8</v>
          </cell>
          <cell r="D211">
            <v>0.12275999999999999</v>
          </cell>
        </row>
        <row r="212">
          <cell r="C212">
            <v>16</v>
          </cell>
          <cell r="D212">
            <v>0.12212000000000001</v>
          </cell>
        </row>
        <row r="213">
          <cell r="C213">
            <v>16.2</v>
          </cell>
          <cell r="D213">
            <v>0.12225999999999999</v>
          </cell>
        </row>
        <row r="214">
          <cell r="C214">
            <v>16.399999999999999</v>
          </cell>
          <cell r="D214">
            <v>0.12282</v>
          </cell>
        </row>
        <row r="215">
          <cell r="C215">
            <v>16.600000000000001</v>
          </cell>
          <cell r="D215">
            <v>0.12255000000000001</v>
          </cell>
        </row>
        <row r="216">
          <cell r="C216">
            <v>16.8</v>
          </cell>
          <cell r="D216">
            <v>0.12196</v>
          </cell>
        </row>
        <row r="217">
          <cell r="C217">
            <v>17</v>
          </cell>
          <cell r="D217">
            <v>0.12139</v>
          </cell>
        </row>
        <row r="218">
          <cell r="C218">
            <v>17.2</v>
          </cell>
          <cell r="D218">
            <v>0.12125</v>
          </cell>
        </row>
        <row r="219">
          <cell r="C219">
            <v>17.399999999999999</v>
          </cell>
          <cell r="D219">
            <v>0.12082</v>
          </cell>
        </row>
        <row r="220">
          <cell r="C220">
            <v>17.600000000000001</v>
          </cell>
          <cell r="D220">
            <v>0.12164999999999999</v>
          </cell>
        </row>
        <row r="221">
          <cell r="C221">
            <v>17.8</v>
          </cell>
          <cell r="D221">
            <v>0.12191</v>
          </cell>
        </row>
        <row r="222">
          <cell r="C222">
            <v>18</v>
          </cell>
          <cell r="D222">
            <v>0.12078</v>
          </cell>
        </row>
        <row r="223">
          <cell r="C223">
            <v>18.2</v>
          </cell>
          <cell r="D223">
            <v>0.1215</v>
          </cell>
        </row>
        <row r="224">
          <cell r="C224">
            <v>18.399999999999999</v>
          </cell>
          <cell r="D224">
            <v>0.12114999999999999</v>
          </cell>
        </row>
        <row r="225">
          <cell r="C225">
            <v>18.600000000000001</v>
          </cell>
          <cell r="D225">
            <v>0.11939</v>
          </cell>
        </row>
        <row r="226">
          <cell r="C226">
            <v>18.8</v>
          </cell>
          <cell r="D226">
            <v>0.12002</v>
          </cell>
        </row>
        <row r="227">
          <cell r="C227">
            <v>19</v>
          </cell>
          <cell r="D227">
            <v>0.12073</v>
          </cell>
        </row>
        <row r="228">
          <cell r="C228">
            <v>19.2</v>
          </cell>
          <cell r="D228">
            <v>0.1201</v>
          </cell>
        </row>
        <row r="229">
          <cell r="C229">
            <v>19.399999999999999</v>
          </cell>
          <cell r="D229">
            <v>0.12014</v>
          </cell>
        </row>
        <row r="230">
          <cell r="C230">
            <v>19.600000000000001</v>
          </cell>
          <cell r="D230">
            <v>0.12005</v>
          </cell>
        </row>
        <row r="231">
          <cell r="C231">
            <v>19.8</v>
          </cell>
          <cell r="D231">
            <v>0.12089</v>
          </cell>
        </row>
        <row r="232">
          <cell r="C232">
            <v>20</v>
          </cell>
          <cell r="D232">
            <v>0.12023</v>
          </cell>
        </row>
        <row r="233">
          <cell r="C233">
            <v>20.2</v>
          </cell>
          <cell r="D233">
            <v>0.11947000000000001</v>
          </cell>
        </row>
        <row r="234">
          <cell r="C234">
            <v>20.399999999999999</v>
          </cell>
          <cell r="D234">
            <v>0.11842999999999999</v>
          </cell>
        </row>
        <row r="235">
          <cell r="C235">
            <v>20.6</v>
          </cell>
          <cell r="D235">
            <v>0.11833</v>
          </cell>
        </row>
        <row r="236">
          <cell r="C236">
            <v>20.8</v>
          </cell>
          <cell r="D236">
            <v>0.11903</v>
          </cell>
        </row>
        <row r="237">
          <cell r="C237">
            <v>21</v>
          </cell>
          <cell r="D237">
            <v>0.1201</v>
          </cell>
        </row>
        <row r="238">
          <cell r="C238">
            <v>21.2</v>
          </cell>
          <cell r="D238">
            <v>0.12075</v>
          </cell>
        </row>
        <row r="239">
          <cell r="C239">
            <v>21.4</v>
          </cell>
          <cell r="D239">
            <v>0.11854000000000001</v>
          </cell>
        </row>
        <row r="240">
          <cell r="C240">
            <v>21.6</v>
          </cell>
          <cell r="D240">
            <v>0.11763999999999999</v>
          </cell>
        </row>
        <row r="241">
          <cell r="C241">
            <v>21.8</v>
          </cell>
          <cell r="D241">
            <v>0.11592</v>
          </cell>
        </row>
        <row r="242">
          <cell r="C242">
            <v>22</v>
          </cell>
          <cell r="D242">
            <v>0.11799</v>
          </cell>
        </row>
        <row r="243">
          <cell r="C243">
            <v>22.2</v>
          </cell>
          <cell r="D243">
            <v>0.11708</v>
          </cell>
        </row>
        <row r="244">
          <cell r="C244">
            <v>22.4</v>
          </cell>
          <cell r="D244">
            <v>0.11778</v>
          </cell>
        </row>
        <row r="245">
          <cell r="C245">
            <v>22.6</v>
          </cell>
          <cell r="D245">
            <v>0.11748</v>
          </cell>
        </row>
        <row r="246">
          <cell r="C246">
            <v>22.8</v>
          </cell>
          <cell r="D246">
            <v>0.11735</v>
          </cell>
        </row>
        <row r="247">
          <cell r="C247">
            <v>23</v>
          </cell>
          <cell r="D247">
            <v>0.11765</v>
          </cell>
        </row>
        <row r="248">
          <cell r="C248">
            <v>23.2</v>
          </cell>
          <cell r="D248">
            <v>0.11804000000000001</v>
          </cell>
        </row>
        <row r="249">
          <cell r="C249">
            <v>23.4</v>
          </cell>
          <cell r="D249">
            <v>0.11819</v>
          </cell>
        </row>
        <row r="250">
          <cell r="C250">
            <v>23.6</v>
          </cell>
          <cell r="D250">
            <v>0.11889</v>
          </cell>
        </row>
        <row r="251">
          <cell r="C251">
            <v>23.8</v>
          </cell>
          <cell r="D251">
            <v>0.11914</v>
          </cell>
        </row>
        <row r="252">
          <cell r="C252">
            <v>24</v>
          </cell>
          <cell r="D252">
            <v>0.11840000000000001</v>
          </cell>
        </row>
        <row r="253">
          <cell r="C253">
            <v>24.2</v>
          </cell>
          <cell r="D253">
            <v>0.11895</v>
          </cell>
        </row>
        <row r="254">
          <cell r="C254">
            <v>24.4</v>
          </cell>
          <cell r="D254">
            <v>0.11885999999999999</v>
          </cell>
        </row>
        <row r="255">
          <cell r="C255">
            <v>24.6</v>
          </cell>
          <cell r="D255">
            <v>0.1187</v>
          </cell>
        </row>
        <row r="256">
          <cell r="C256">
            <v>24.8</v>
          </cell>
          <cell r="D256">
            <v>0.11924</v>
          </cell>
        </row>
        <row r="257">
          <cell r="C257">
            <v>25</v>
          </cell>
          <cell r="D257">
            <v>0.11931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>
      <selection activeCell="M3" sqref="M3"/>
    </sheetView>
  </sheetViews>
  <sheetFormatPr defaultColWidth="8.81640625" defaultRowHeight="10.5"/>
  <cols>
    <col min="1" max="1" width="3.81640625" style="1" bestFit="1" customWidth="1"/>
    <col min="2" max="3" width="5.453125" style="1" bestFit="1" customWidth="1"/>
    <col min="4" max="4" width="9.26953125" style="1" bestFit="1" customWidth="1"/>
    <col min="5" max="5" width="8.81640625" style="1"/>
    <col min="6" max="6" width="3.81640625" style="1" bestFit="1" customWidth="1"/>
    <col min="7" max="7" width="9.26953125" style="1" bestFit="1" customWidth="1"/>
    <col min="8" max="8" width="7.26953125" style="1" bestFit="1" customWidth="1"/>
    <col min="9" max="10" width="9.26953125" style="1" bestFit="1" customWidth="1"/>
    <col min="11" max="11" width="11.453125" style="1" bestFit="1" customWidth="1"/>
    <col min="12" max="15" width="8.81640625" style="1"/>
    <col min="16" max="16" width="9.26953125" style="1" bestFit="1" customWidth="1"/>
    <col min="17" max="16384" width="8.81640625" style="1"/>
  </cols>
  <sheetData>
    <row r="1" spans="1:19">
      <c r="A1" s="1" t="s">
        <v>0</v>
      </c>
      <c r="B1" s="1" t="s">
        <v>1</v>
      </c>
      <c r="C1" s="1" t="s">
        <v>2</v>
      </c>
      <c r="D1" s="3" t="s">
        <v>3</v>
      </c>
      <c r="F1" s="1" t="s">
        <v>4</v>
      </c>
      <c r="G1" s="4" t="s">
        <v>5</v>
      </c>
      <c r="H1" s="5" t="s">
        <v>6</v>
      </c>
      <c r="I1" s="3" t="s">
        <v>3</v>
      </c>
      <c r="J1" s="6" t="s">
        <v>7</v>
      </c>
      <c r="K1" s="7" t="s">
        <v>8</v>
      </c>
      <c r="P1" s="4" t="s">
        <v>5</v>
      </c>
      <c r="Q1" s="7" t="s">
        <v>9</v>
      </c>
    </row>
    <row r="2" spans="1:19">
      <c r="A2" s="1">
        <v>0.1</v>
      </c>
      <c r="B2" s="1">
        <v>3.0999999999999999E-3</v>
      </c>
      <c r="C2" s="1">
        <v>0.1467</v>
      </c>
      <c r="D2" s="1">
        <f>B2*MAX(C$2:C$111)/C2</f>
        <v>3.1021131561008862E-3</v>
      </c>
      <c r="F2" s="1">
        <v>0.1</v>
      </c>
      <c r="G2" s="1">
        <f>F2/2/SQRT(2)</f>
        <v>3.5355339059327376E-2</v>
      </c>
      <c r="H2" s="1">
        <v>3.0999999999999999E-3</v>
      </c>
      <c r="I2" s="1">
        <v>3.1021131561008862E-3</v>
      </c>
      <c r="J2" s="1">
        <f>ACOS(1-2*(I2/MAX(I$3:I$111)))</f>
        <v>0.15380011493895984</v>
      </c>
      <c r="K2" s="1">
        <f>2*J$37-J2</f>
        <v>6.1293851922406262</v>
      </c>
      <c r="P2" s="1">
        <v>3.5355339059327376E-2</v>
      </c>
      <c r="Q2" s="8">
        <f>K2/2/PI()</f>
        <v>0.97552195145936282</v>
      </c>
      <c r="R2" s="8" t="s">
        <v>10</v>
      </c>
      <c r="S2" s="8"/>
    </row>
    <row r="3" spans="1:19">
      <c r="A3" s="1">
        <f>A2+0.1</f>
        <v>0.2</v>
      </c>
      <c r="B3" s="1">
        <v>3.0999999999999999E-3</v>
      </c>
      <c r="C3" s="1">
        <v>0.1467</v>
      </c>
      <c r="D3" s="1">
        <f t="shared" ref="D3:D66" si="0">B3*MAX(C$2:C$111)/C3</f>
        <v>3.1021131561008862E-3</v>
      </c>
      <c r="F3" s="1">
        <f>F2+0.1</f>
        <v>0.2</v>
      </c>
      <c r="G3" s="1">
        <f t="shared" ref="G3:G66" si="1">F3/2/SQRT(2)</f>
        <v>7.0710678118654752E-2</v>
      </c>
      <c r="H3" s="1">
        <v>3.0999999999999999E-3</v>
      </c>
      <c r="I3" s="1">
        <v>3.1021131561008862E-3</v>
      </c>
      <c r="J3" s="1">
        <f t="shared" ref="J3:J66" si="2">ACOS(1-2*(I3/MAX(I$3:I$111)))</f>
        <v>0.15380011493895984</v>
      </c>
      <c r="K3" s="1">
        <f t="shared" ref="K3:K36" si="3">2*J$37-J3</f>
        <v>6.1293851922406262</v>
      </c>
      <c r="P3" s="1">
        <v>7.0710678118654752E-2</v>
      </c>
      <c r="Q3" s="1">
        <f t="shared" ref="Q3:Q66" si="4">K3/2/PI()</f>
        <v>0.97552195145936282</v>
      </c>
    </row>
    <row r="4" spans="1:19">
      <c r="A4" s="1">
        <f t="shared" ref="A4:A68" si="5">A3+0.1</f>
        <v>0.30000000000000004</v>
      </c>
      <c r="B4" s="1">
        <v>3.0999999999999999E-3</v>
      </c>
      <c r="C4" s="1">
        <v>0.1467</v>
      </c>
      <c r="D4" s="1">
        <f t="shared" si="0"/>
        <v>3.1021131561008862E-3</v>
      </c>
      <c r="F4" s="1">
        <f t="shared" ref="F4:F66" si="6">F3+0.1</f>
        <v>0.30000000000000004</v>
      </c>
      <c r="G4" s="1">
        <f t="shared" si="1"/>
        <v>0.10606601717798214</v>
      </c>
      <c r="H4" s="1">
        <v>3.0999999999999999E-3</v>
      </c>
      <c r="I4" s="1">
        <v>3.1021131561008862E-3</v>
      </c>
      <c r="J4" s="1">
        <f t="shared" si="2"/>
        <v>0.15380011493895984</v>
      </c>
      <c r="K4" s="1">
        <f t="shared" si="3"/>
        <v>6.1293851922406262</v>
      </c>
      <c r="P4" s="1">
        <v>0.10606601717798214</v>
      </c>
      <c r="Q4" s="1">
        <f t="shared" si="4"/>
        <v>0.97552195145936282</v>
      </c>
    </row>
    <row r="5" spans="1:19">
      <c r="A5" s="1">
        <f t="shared" si="5"/>
        <v>0.4</v>
      </c>
      <c r="B5" s="1">
        <v>3.0999999999999999E-3</v>
      </c>
      <c r="C5" s="1">
        <v>0.14680000000000001</v>
      </c>
      <c r="D5" s="1">
        <f t="shared" si="0"/>
        <v>3.0999999999999999E-3</v>
      </c>
      <c r="F5" s="1">
        <f t="shared" si="6"/>
        <v>0.4</v>
      </c>
      <c r="G5" s="1">
        <f t="shared" si="1"/>
        <v>0.1414213562373095</v>
      </c>
      <c r="H5" s="1">
        <v>3.0999999999999999E-3</v>
      </c>
      <c r="I5" s="1">
        <v>3.0999999999999999E-3</v>
      </c>
      <c r="J5" s="1">
        <f t="shared" si="2"/>
        <v>0.15374761831003703</v>
      </c>
      <c r="K5" s="1">
        <f t="shared" si="3"/>
        <v>6.1294376888695492</v>
      </c>
      <c r="P5" s="1">
        <v>0.1414213562373095</v>
      </c>
      <c r="Q5" s="1">
        <f t="shared" si="4"/>
        <v>0.97553030655735162</v>
      </c>
    </row>
    <row r="6" spans="1:19">
      <c r="A6" s="1">
        <f t="shared" si="5"/>
        <v>0.5</v>
      </c>
      <c r="B6" s="1">
        <v>3.2000000000000002E-3</v>
      </c>
      <c r="C6" s="1">
        <v>0.14680000000000001</v>
      </c>
      <c r="D6" s="1">
        <f t="shared" si="0"/>
        <v>3.2000000000000002E-3</v>
      </c>
      <c r="F6" s="1">
        <f t="shared" si="6"/>
        <v>0.5</v>
      </c>
      <c r="G6" s="1">
        <f t="shared" si="1"/>
        <v>0.17677669529663687</v>
      </c>
      <c r="H6" s="1">
        <v>3.2000000000000002E-3</v>
      </c>
      <c r="I6" s="1">
        <v>3.2000000000000002E-3</v>
      </c>
      <c r="J6" s="1">
        <f t="shared" si="2"/>
        <v>0.15621271162315797</v>
      </c>
      <c r="K6" s="1">
        <f t="shared" si="3"/>
        <v>6.1269725955564285</v>
      </c>
      <c r="P6" s="1">
        <v>0.17677669529663687</v>
      </c>
      <c r="Q6" s="1">
        <f t="shared" si="4"/>
        <v>0.97513797477138564</v>
      </c>
    </row>
    <row r="7" spans="1:19">
      <c r="A7" s="1">
        <f t="shared" si="5"/>
        <v>0.6</v>
      </c>
      <c r="B7" s="1">
        <v>3.2000000000000002E-3</v>
      </c>
      <c r="C7" s="1">
        <v>0.14680000000000001</v>
      </c>
      <c r="D7" s="1">
        <f t="shared" si="0"/>
        <v>3.2000000000000002E-3</v>
      </c>
      <c r="F7" s="1">
        <f t="shared" si="6"/>
        <v>0.6</v>
      </c>
      <c r="G7" s="1">
        <f t="shared" si="1"/>
        <v>0.21213203435596423</v>
      </c>
      <c r="H7" s="1">
        <v>3.2000000000000002E-3</v>
      </c>
      <c r="I7" s="1">
        <v>3.2000000000000002E-3</v>
      </c>
      <c r="J7" s="1">
        <f t="shared" si="2"/>
        <v>0.15621271162315797</v>
      </c>
      <c r="K7" s="1">
        <f t="shared" si="3"/>
        <v>6.1269725955564285</v>
      </c>
      <c r="P7" s="1">
        <v>0.21213203435596423</v>
      </c>
      <c r="Q7" s="1">
        <f t="shared" si="4"/>
        <v>0.97513797477138564</v>
      </c>
    </row>
    <row r="8" spans="1:19">
      <c r="A8" s="1">
        <f t="shared" si="5"/>
        <v>0.7</v>
      </c>
      <c r="B8" s="1">
        <v>3.3E-3</v>
      </c>
      <c r="C8" s="1">
        <v>0.14680000000000001</v>
      </c>
      <c r="D8" s="1">
        <f t="shared" si="0"/>
        <v>3.3E-3</v>
      </c>
      <c r="F8" s="1">
        <f t="shared" si="6"/>
        <v>0.7</v>
      </c>
      <c r="G8" s="1">
        <f t="shared" si="1"/>
        <v>0.24748737341529159</v>
      </c>
      <c r="H8" s="1">
        <v>3.3E-3</v>
      </c>
      <c r="I8" s="1">
        <v>3.3E-3</v>
      </c>
      <c r="J8" s="1">
        <f t="shared" si="2"/>
        <v>0.15863981178676312</v>
      </c>
      <c r="K8" s="1">
        <f t="shared" si="3"/>
        <v>6.1245454953928231</v>
      </c>
      <c r="P8" s="1">
        <v>0.24748737341529159</v>
      </c>
      <c r="Q8" s="1">
        <f t="shared" si="4"/>
        <v>0.97475168978296878</v>
      </c>
    </row>
    <row r="9" spans="1:19">
      <c r="A9" s="1">
        <f t="shared" si="5"/>
        <v>0.79999999999999993</v>
      </c>
      <c r="B9" s="1">
        <v>3.3E-3</v>
      </c>
      <c r="C9" s="1">
        <v>0.14680000000000001</v>
      </c>
      <c r="D9" s="1">
        <f t="shared" si="0"/>
        <v>3.3E-3</v>
      </c>
      <c r="F9" s="1">
        <f t="shared" si="6"/>
        <v>0.79999999999999993</v>
      </c>
      <c r="G9" s="1">
        <f t="shared" si="1"/>
        <v>0.28284271247461895</v>
      </c>
      <c r="H9" s="1">
        <v>3.3E-3</v>
      </c>
      <c r="I9" s="1">
        <v>3.3E-3</v>
      </c>
      <c r="J9" s="1">
        <f t="shared" si="2"/>
        <v>0.15863981178676312</v>
      </c>
      <c r="K9" s="1">
        <f t="shared" si="3"/>
        <v>6.1245454953928231</v>
      </c>
      <c r="P9" s="1">
        <v>0.28284271247461895</v>
      </c>
      <c r="Q9" s="1">
        <f t="shared" si="4"/>
        <v>0.97475168978296878</v>
      </c>
    </row>
    <row r="10" spans="1:19">
      <c r="A10" s="1">
        <f t="shared" si="5"/>
        <v>0.89999999999999991</v>
      </c>
      <c r="B10" s="1">
        <v>3.3999999999999998E-3</v>
      </c>
      <c r="C10" s="1">
        <v>0.14680000000000001</v>
      </c>
      <c r="D10" s="1">
        <f t="shared" si="0"/>
        <v>3.3999999999999998E-3</v>
      </c>
      <c r="F10" s="1">
        <f t="shared" si="6"/>
        <v>0.89999999999999991</v>
      </c>
      <c r="G10" s="1">
        <f t="shared" si="1"/>
        <v>0.31819805153394631</v>
      </c>
      <c r="H10" s="1">
        <v>3.3999999999999998E-3</v>
      </c>
      <c r="I10" s="1">
        <v>3.3999999999999998E-3</v>
      </c>
      <c r="J10" s="1">
        <f t="shared" si="2"/>
        <v>0.16103063683381569</v>
      </c>
      <c r="K10" s="1">
        <f t="shared" si="3"/>
        <v>6.1221546703457701</v>
      </c>
      <c r="P10" s="1">
        <v>0.31819805153394631</v>
      </c>
      <c r="Q10" s="1">
        <f t="shared" si="4"/>
        <v>0.97437117815866237</v>
      </c>
    </row>
    <row r="11" spans="1:19">
      <c r="A11" s="1">
        <f t="shared" si="5"/>
        <v>0.99999999999999989</v>
      </c>
      <c r="B11" s="1">
        <v>3.5000000000000001E-3</v>
      </c>
      <c r="C11" s="1">
        <v>0.14680000000000001</v>
      </c>
      <c r="D11" s="1">
        <f t="shared" si="0"/>
        <v>3.4999999999999996E-3</v>
      </c>
      <c r="F11" s="1">
        <f t="shared" si="6"/>
        <v>0.99999999999999989</v>
      </c>
      <c r="G11" s="1">
        <f t="shared" si="1"/>
        <v>0.35355339059327368</v>
      </c>
      <c r="H11" s="1">
        <v>3.5000000000000001E-3</v>
      </c>
      <c r="I11" s="1">
        <v>3.4999999999999996E-3</v>
      </c>
      <c r="J11" s="1">
        <f t="shared" si="2"/>
        <v>0.16338677929570844</v>
      </c>
      <c r="K11" s="1">
        <f t="shared" si="3"/>
        <v>6.1197985278838782</v>
      </c>
      <c r="P11" s="1">
        <v>0.35355339059327368</v>
      </c>
      <c r="Q11" s="1">
        <f t="shared" si="4"/>
        <v>0.97399618643922348</v>
      </c>
    </row>
    <row r="12" spans="1:19">
      <c r="A12" s="1">
        <f t="shared" si="5"/>
        <v>1.0999999999999999</v>
      </c>
      <c r="B12" s="1">
        <v>3.7000000000000002E-3</v>
      </c>
      <c r="C12" s="1">
        <v>0.1467</v>
      </c>
      <c r="D12" s="1">
        <f t="shared" si="0"/>
        <v>3.7025221540558971E-3</v>
      </c>
      <c r="F12" s="1">
        <f t="shared" si="6"/>
        <v>1.0999999999999999</v>
      </c>
      <c r="G12" s="1">
        <f t="shared" si="1"/>
        <v>0.38890872965260104</v>
      </c>
      <c r="H12" s="1">
        <v>3.7000000000000002E-3</v>
      </c>
      <c r="I12" s="1">
        <v>3.7025221540558971E-3</v>
      </c>
      <c r="J12" s="1">
        <f t="shared" si="2"/>
        <v>0.16805821769528095</v>
      </c>
      <c r="K12" s="1">
        <f t="shared" si="3"/>
        <v>6.1151270894843055</v>
      </c>
      <c r="P12" s="1">
        <v>0.38890872965260104</v>
      </c>
      <c r="Q12" s="1">
        <f t="shared" si="4"/>
        <v>0.97325270392658225</v>
      </c>
    </row>
    <row r="13" spans="1:19">
      <c r="A13" s="1">
        <f t="shared" si="5"/>
        <v>1.2</v>
      </c>
      <c r="B13" s="1">
        <v>4.1000000000000003E-3</v>
      </c>
      <c r="C13" s="1">
        <v>0.1467</v>
      </c>
      <c r="D13" s="1">
        <f t="shared" si="0"/>
        <v>4.1027948193592366E-3</v>
      </c>
      <c r="F13" s="1">
        <f t="shared" si="6"/>
        <v>1.2</v>
      </c>
      <c r="G13" s="1">
        <f t="shared" si="1"/>
        <v>0.42426406871192845</v>
      </c>
      <c r="H13" s="1">
        <v>4.1000000000000003E-3</v>
      </c>
      <c r="I13" s="1">
        <v>4.1027948193592366E-3</v>
      </c>
      <c r="J13" s="1">
        <f t="shared" si="2"/>
        <v>0.17693194193604422</v>
      </c>
      <c r="K13" s="1">
        <f t="shared" si="3"/>
        <v>6.1062533652435418</v>
      </c>
      <c r="P13" s="1">
        <v>0.42426406871192845</v>
      </c>
      <c r="Q13" s="1">
        <f t="shared" si="4"/>
        <v>0.97184040685003037</v>
      </c>
    </row>
    <row r="14" spans="1:19">
      <c r="A14" s="1">
        <f t="shared" si="5"/>
        <v>1.3</v>
      </c>
      <c r="B14" s="1">
        <v>4.7000000000000002E-3</v>
      </c>
      <c r="C14" s="1">
        <v>0.1467</v>
      </c>
      <c r="D14" s="1">
        <f t="shared" si="0"/>
        <v>4.7032038173142471E-3</v>
      </c>
      <c r="F14" s="1">
        <f t="shared" si="6"/>
        <v>1.3</v>
      </c>
      <c r="G14" s="1">
        <f t="shared" si="1"/>
        <v>0.45961940777125587</v>
      </c>
      <c r="H14" s="1">
        <v>4.7000000000000002E-3</v>
      </c>
      <c r="I14" s="1">
        <v>4.7032038173142471E-3</v>
      </c>
      <c r="J14" s="1">
        <f t="shared" si="2"/>
        <v>0.18947261102014301</v>
      </c>
      <c r="K14" s="1">
        <f t="shared" si="3"/>
        <v>6.093712696159443</v>
      </c>
      <c r="P14" s="1">
        <v>0.45961940777125587</v>
      </c>
      <c r="Q14" s="1">
        <f t="shared" si="4"/>
        <v>0.96984449737561629</v>
      </c>
    </row>
    <row r="15" spans="1:19">
      <c r="A15" s="1">
        <f t="shared" si="5"/>
        <v>1.4000000000000001</v>
      </c>
      <c r="B15" s="1">
        <v>5.7999999999999996E-3</v>
      </c>
      <c r="C15" s="1">
        <v>0.14660000000000001</v>
      </c>
      <c r="D15" s="1">
        <f t="shared" si="0"/>
        <v>5.8079126875852666E-3</v>
      </c>
      <c r="F15" s="1">
        <f t="shared" si="6"/>
        <v>1.4000000000000001</v>
      </c>
      <c r="G15" s="1">
        <f t="shared" si="1"/>
        <v>0.49497474683058329</v>
      </c>
      <c r="H15" s="1">
        <v>5.7999999999999996E-3</v>
      </c>
      <c r="I15" s="1">
        <v>5.8079126875852666E-3</v>
      </c>
      <c r="J15" s="1">
        <f t="shared" si="2"/>
        <v>0.21062641522529124</v>
      </c>
      <c r="K15" s="1">
        <f t="shared" si="3"/>
        <v>6.0725588919542952</v>
      </c>
      <c r="P15" s="1">
        <v>0.49497474683058329</v>
      </c>
      <c r="Q15" s="1">
        <f t="shared" si="4"/>
        <v>0.96647776487116888</v>
      </c>
    </row>
    <row r="16" spans="1:19">
      <c r="A16" s="1">
        <f t="shared" si="5"/>
        <v>1.5000000000000002</v>
      </c>
      <c r="B16" s="1">
        <v>8.0999999999999996E-3</v>
      </c>
      <c r="C16" s="1">
        <v>0.1467</v>
      </c>
      <c r="D16" s="1">
        <f t="shared" si="0"/>
        <v>8.1055214723926398E-3</v>
      </c>
      <c r="F16" s="1">
        <f t="shared" si="6"/>
        <v>1.5000000000000002</v>
      </c>
      <c r="G16" s="1">
        <f t="shared" si="1"/>
        <v>0.53033008588991071</v>
      </c>
      <c r="H16" s="1">
        <v>8.0999999999999996E-3</v>
      </c>
      <c r="I16" s="1">
        <v>8.1055214723926398E-3</v>
      </c>
      <c r="J16" s="1">
        <f t="shared" si="2"/>
        <v>0.24900770834476282</v>
      </c>
      <c r="K16" s="1">
        <f t="shared" si="3"/>
        <v>6.0341775988348232</v>
      </c>
      <c r="P16" s="1">
        <v>0.53033008588991071</v>
      </c>
      <c r="Q16" s="1">
        <f t="shared" si="4"/>
        <v>0.96036919234894591</v>
      </c>
    </row>
    <row r="17" spans="1:17">
      <c r="A17" s="1">
        <f t="shared" si="5"/>
        <v>1.6000000000000003</v>
      </c>
      <c r="B17" s="1">
        <v>1.2699999999999999E-2</v>
      </c>
      <c r="C17" s="1">
        <v>0.1467</v>
      </c>
      <c r="D17" s="1">
        <f t="shared" si="0"/>
        <v>1.270865712338105E-2</v>
      </c>
      <c r="F17" s="1">
        <f t="shared" si="6"/>
        <v>1.6000000000000003</v>
      </c>
      <c r="G17" s="1">
        <f t="shared" si="1"/>
        <v>0.56568542494923812</v>
      </c>
      <c r="H17" s="1">
        <v>1.2699999999999999E-2</v>
      </c>
      <c r="I17" s="1">
        <v>1.270865712338105E-2</v>
      </c>
      <c r="J17" s="1">
        <f t="shared" si="2"/>
        <v>0.31225932090402719</v>
      </c>
      <c r="K17" s="1">
        <f t="shared" si="3"/>
        <v>5.9709259862755593</v>
      </c>
      <c r="P17" s="1">
        <v>0.56568542494923812</v>
      </c>
      <c r="Q17" s="1">
        <f t="shared" si="4"/>
        <v>0.95030238555160573</v>
      </c>
    </row>
    <row r="18" spans="1:17">
      <c r="A18" s="1">
        <f t="shared" si="5"/>
        <v>1.7000000000000004</v>
      </c>
      <c r="B18" s="1">
        <v>2.12E-2</v>
      </c>
      <c r="C18" s="1">
        <v>0.1467</v>
      </c>
      <c r="D18" s="1">
        <f t="shared" si="0"/>
        <v>2.121445126107703E-2</v>
      </c>
      <c r="F18" s="1">
        <f t="shared" si="6"/>
        <v>1.7000000000000004</v>
      </c>
      <c r="G18" s="1">
        <f t="shared" si="1"/>
        <v>0.60104076400856554</v>
      </c>
      <c r="H18" s="1">
        <v>2.12E-2</v>
      </c>
      <c r="I18" s="1">
        <v>2.121445126107703E-2</v>
      </c>
      <c r="J18" s="1">
        <f t="shared" si="2"/>
        <v>0.40455850031432616</v>
      </c>
      <c r="K18" s="1">
        <f t="shared" si="3"/>
        <v>5.8786268068652596</v>
      </c>
      <c r="P18" s="1">
        <v>0.60104076400856554</v>
      </c>
      <c r="Q18" s="1">
        <f t="shared" si="4"/>
        <v>0.93561251490513087</v>
      </c>
    </row>
    <row r="19" spans="1:17">
      <c r="A19" s="1">
        <f t="shared" si="5"/>
        <v>1.8000000000000005</v>
      </c>
      <c r="B19" s="1">
        <v>3.4700000000000002E-2</v>
      </c>
      <c r="C19" s="1">
        <v>0.1467</v>
      </c>
      <c r="D19" s="1">
        <f t="shared" si="0"/>
        <v>3.4723653715064765E-2</v>
      </c>
      <c r="F19" s="1">
        <f t="shared" si="6"/>
        <v>1.8000000000000005</v>
      </c>
      <c r="G19" s="1">
        <f t="shared" si="1"/>
        <v>0.63639610306789285</v>
      </c>
      <c r="H19" s="1">
        <v>3.4700000000000002E-2</v>
      </c>
      <c r="I19" s="1">
        <v>3.4723653715064765E-2</v>
      </c>
      <c r="J19" s="1">
        <f t="shared" si="2"/>
        <v>0.51989368086417631</v>
      </c>
      <c r="K19" s="1">
        <f t="shared" si="3"/>
        <v>5.7632916263154099</v>
      </c>
      <c r="P19" s="1">
        <v>0.63639610306789285</v>
      </c>
      <c r="Q19" s="1">
        <f t="shared" si="4"/>
        <v>0.91725635080822598</v>
      </c>
    </row>
    <row r="20" spans="1:17">
      <c r="A20" s="1">
        <f t="shared" si="5"/>
        <v>1.9000000000000006</v>
      </c>
      <c r="B20" s="1">
        <v>5.3999999999999999E-2</v>
      </c>
      <c r="C20" s="1">
        <v>0.14649999999999999</v>
      </c>
      <c r="D20" s="1">
        <f t="shared" si="0"/>
        <v>5.4110580204778165E-2</v>
      </c>
      <c r="F20" s="1">
        <f t="shared" si="6"/>
        <v>1.9000000000000006</v>
      </c>
      <c r="G20" s="1">
        <f t="shared" si="1"/>
        <v>0.67175144212722027</v>
      </c>
      <c r="H20" s="1">
        <v>5.3999999999999999E-2</v>
      </c>
      <c r="I20" s="1">
        <v>5.4110580204778165E-2</v>
      </c>
      <c r="J20" s="1">
        <f t="shared" si="2"/>
        <v>0.65326728292320457</v>
      </c>
      <c r="K20" s="1">
        <f t="shared" si="3"/>
        <v>5.6299180242563818</v>
      </c>
      <c r="P20" s="1">
        <v>0.67175144212722027</v>
      </c>
      <c r="Q20" s="1">
        <f t="shared" si="4"/>
        <v>0.89602928276256033</v>
      </c>
    </row>
    <row r="21" spans="1:17">
      <c r="A21" s="1">
        <f t="shared" si="5"/>
        <v>2.0000000000000004</v>
      </c>
      <c r="B21" s="1">
        <v>7.9299999999999995E-2</v>
      </c>
      <c r="C21" s="1">
        <v>0.14649999999999999</v>
      </c>
      <c r="D21" s="1">
        <f t="shared" si="0"/>
        <v>7.9462389078498299E-2</v>
      </c>
      <c r="F21" s="1">
        <f t="shared" si="6"/>
        <v>2.0000000000000004</v>
      </c>
      <c r="G21" s="1">
        <f t="shared" si="1"/>
        <v>0.70710678118654768</v>
      </c>
      <c r="H21" s="1">
        <v>7.9299999999999995E-2</v>
      </c>
      <c r="I21" s="1">
        <v>7.9462389078498299E-2</v>
      </c>
      <c r="J21" s="1">
        <f t="shared" si="2"/>
        <v>0.79870468996226085</v>
      </c>
      <c r="K21" s="1">
        <f t="shared" si="3"/>
        <v>5.4844806172173257</v>
      </c>
      <c r="P21" s="1">
        <v>0.70710678118654768</v>
      </c>
      <c r="Q21" s="1">
        <f t="shared" si="4"/>
        <v>0.87288220052182652</v>
      </c>
    </row>
    <row r="22" spans="1:17">
      <c r="A22" s="1">
        <f t="shared" si="5"/>
        <v>2.1000000000000005</v>
      </c>
      <c r="B22" s="1">
        <v>0.11020000000000001</v>
      </c>
      <c r="C22" s="1">
        <v>0.14649999999999999</v>
      </c>
      <c r="D22" s="1">
        <f t="shared" si="0"/>
        <v>0.11042566552901026</v>
      </c>
      <c r="F22" s="1">
        <f t="shared" si="6"/>
        <v>2.1000000000000005</v>
      </c>
      <c r="G22" s="1">
        <f t="shared" si="1"/>
        <v>0.74246212024587499</v>
      </c>
      <c r="H22" s="1">
        <v>0.11020000000000001</v>
      </c>
      <c r="I22" s="1">
        <v>0.11042566552901026</v>
      </c>
      <c r="J22" s="1">
        <f t="shared" si="2"/>
        <v>0.95229343213185658</v>
      </c>
      <c r="K22" s="1">
        <f t="shared" si="3"/>
        <v>5.3308918750477297</v>
      </c>
      <c r="P22" s="1">
        <v>0.74246212024587499</v>
      </c>
      <c r="Q22" s="1">
        <f t="shared" si="4"/>
        <v>0.84843779300226863</v>
      </c>
    </row>
    <row r="23" spans="1:17">
      <c r="A23" s="1">
        <f t="shared" si="5"/>
        <v>2.2000000000000006</v>
      </c>
      <c r="B23" s="1">
        <v>0.14580000000000001</v>
      </c>
      <c r="C23" s="1">
        <v>0.14649999999999999</v>
      </c>
      <c r="D23" s="1">
        <f t="shared" si="0"/>
        <v>0.14609856655290104</v>
      </c>
      <c r="F23" s="1">
        <f t="shared" si="6"/>
        <v>2.2000000000000006</v>
      </c>
      <c r="G23" s="1">
        <f t="shared" si="1"/>
        <v>0.77781745930520241</v>
      </c>
      <c r="H23" s="1">
        <v>0.14580000000000001</v>
      </c>
      <c r="I23" s="1">
        <v>0.14609856655290104</v>
      </c>
      <c r="J23" s="1">
        <f t="shared" si="2"/>
        <v>1.1106535456772759</v>
      </c>
      <c r="K23" s="1">
        <f t="shared" si="3"/>
        <v>5.1725317615023103</v>
      </c>
      <c r="P23" s="1">
        <v>0.77781745930520241</v>
      </c>
      <c r="Q23" s="1">
        <f t="shared" si="4"/>
        <v>0.82323399814292142</v>
      </c>
    </row>
    <row r="24" spans="1:17">
      <c r="A24" s="1">
        <f t="shared" si="5"/>
        <v>2.3000000000000007</v>
      </c>
      <c r="B24" s="1">
        <v>0.18540000000000001</v>
      </c>
      <c r="C24" s="1">
        <v>0.1464</v>
      </c>
      <c r="D24" s="1">
        <f t="shared" si="0"/>
        <v>0.1859065573770492</v>
      </c>
      <c r="F24" s="1">
        <f t="shared" si="6"/>
        <v>2.3000000000000007</v>
      </c>
      <c r="G24" s="1">
        <f t="shared" si="1"/>
        <v>0.81317279836452983</v>
      </c>
      <c r="H24" s="1">
        <v>0.18540000000000001</v>
      </c>
      <c r="I24" s="1">
        <v>0.1859065573770492</v>
      </c>
      <c r="J24" s="1">
        <f t="shared" si="2"/>
        <v>1.2738500672608537</v>
      </c>
      <c r="K24" s="1">
        <f t="shared" si="3"/>
        <v>5.0093352399187321</v>
      </c>
      <c r="P24" s="1">
        <v>0.81317279836452983</v>
      </c>
      <c r="Q24" s="1">
        <f t="shared" si="4"/>
        <v>0.79726046503749171</v>
      </c>
    </row>
    <row r="25" spans="1:17">
      <c r="A25" s="1">
        <f t="shared" si="5"/>
        <v>2.4000000000000008</v>
      </c>
      <c r="B25" s="1">
        <v>0.22739999999999999</v>
      </c>
      <c r="C25" s="1">
        <v>0.1464</v>
      </c>
      <c r="D25" s="1">
        <f t="shared" si="0"/>
        <v>0.22802131147540983</v>
      </c>
      <c r="F25" s="1">
        <f t="shared" si="6"/>
        <v>2.4000000000000008</v>
      </c>
      <c r="G25" s="1">
        <f t="shared" si="1"/>
        <v>0.84852813742385724</v>
      </c>
      <c r="H25" s="1">
        <v>0.22739999999999999</v>
      </c>
      <c r="I25" s="1">
        <v>0.22802131147540983</v>
      </c>
      <c r="J25" s="1">
        <f t="shared" si="2"/>
        <v>1.4380574766052632</v>
      </c>
      <c r="K25" s="1">
        <f t="shared" si="3"/>
        <v>4.8451278305743228</v>
      </c>
      <c r="P25" s="1">
        <v>0.84852813742385724</v>
      </c>
      <c r="Q25" s="1">
        <f t="shared" si="4"/>
        <v>0.77112604414801467</v>
      </c>
    </row>
    <row r="26" spans="1:17">
      <c r="A26" s="1">
        <f t="shared" si="5"/>
        <v>2.5000000000000009</v>
      </c>
      <c r="B26" s="1">
        <v>0.27050000000000002</v>
      </c>
      <c r="C26" s="1">
        <v>0.1464</v>
      </c>
      <c r="D26" s="1">
        <f t="shared" si="0"/>
        <v>0.2712390710382514</v>
      </c>
      <c r="F26" s="1">
        <f t="shared" si="6"/>
        <v>2.5000000000000009</v>
      </c>
      <c r="G26" s="1">
        <f t="shared" si="1"/>
        <v>0.88388347648318466</v>
      </c>
      <c r="H26" s="1">
        <v>0.27050000000000002</v>
      </c>
      <c r="I26" s="1">
        <v>0.2712390710382514</v>
      </c>
      <c r="J26" s="1">
        <f t="shared" si="2"/>
        <v>1.6029016191107803</v>
      </c>
      <c r="K26" s="1">
        <f t="shared" si="3"/>
        <v>4.6802836880688057</v>
      </c>
      <c r="P26" s="1">
        <v>0.88388347648318466</v>
      </c>
      <c r="Q26" s="1">
        <f t="shared" si="4"/>
        <v>0.74489028402851687</v>
      </c>
    </row>
    <row r="27" spans="1:17">
      <c r="A27" s="1">
        <f t="shared" si="5"/>
        <v>2.600000000000001</v>
      </c>
      <c r="B27" s="1">
        <v>0.31319999999999998</v>
      </c>
      <c r="C27" s="1">
        <v>0.1464</v>
      </c>
      <c r="D27" s="1">
        <f t="shared" si="0"/>
        <v>0.31405573770491801</v>
      </c>
      <c r="F27" s="1">
        <f t="shared" si="6"/>
        <v>2.600000000000001</v>
      </c>
      <c r="G27" s="1">
        <f t="shared" si="1"/>
        <v>0.91923881554251208</v>
      </c>
      <c r="H27" s="1">
        <v>0.31319999999999998</v>
      </c>
      <c r="I27" s="1">
        <v>0.31405573770491801</v>
      </c>
      <c r="J27" s="1">
        <f t="shared" si="2"/>
        <v>1.7670769584817916</v>
      </c>
      <c r="K27" s="1">
        <f t="shared" si="3"/>
        <v>4.5161083486977951</v>
      </c>
      <c r="P27" s="1">
        <v>0.91923881554251208</v>
      </c>
      <c r="Q27" s="1">
        <f t="shared" si="4"/>
        <v>0.71876096723383098</v>
      </c>
    </row>
    <row r="28" spans="1:17">
      <c r="A28" s="1">
        <f t="shared" si="5"/>
        <v>2.7000000000000011</v>
      </c>
      <c r="B28" s="1">
        <v>0.35399999999999998</v>
      </c>
      <c r="C28" s="1">
        <v>0.14630000000000001</v>
      </c>
      <c r="D28" s="1">
        <f t="shared" si="0"/>
        <v>0.35520984278879014</v>
      </c>
      <c r="F28" s="1">
        <f t="shared" si="6"/>
        <v>2.7000000000000011</v>
      </c>
      <c r="G28" s="1">
        <f t="shared" si="1"/>
        <v>0.9545941546018395</v>
      </c>
      <c r="H28" s="1">
        <v>0.35399999999999998</v>
      </c>
      <c r="I28" s="1">
        <v>0.35520984278879014</v>
      </c>
      <c r="J28" s="1">
        <f t="shared" si="2"/>
        <v>1.9300967695222038</v>
      </c>
      <c r="K28" s="1">
        <f t="shared" si="3"/>
        <v>4.3530885376573822</v>
      </c>
      <c r="P28" s="1">
        <v>0.9545941546018395</v>
      </c>
      <c r="Q28" s="1">
        <f t="shared" si="4"/>
        <v>0.69281555848484255</v>
      </c>
    </row>
    <row r="29" spans="1:17">
      <c r="A29" s="1">
        <f t="shared" si="5"/>
        <v>2.8000000000000012</v>
      </c>
      <c r="B29" s="1">
        <v>0.39179999999999998</v>
      </c>
      <c r="C29" s="1">
        <v>0.1462</v>
      </c>
      <c r="D29" s="1">
        <f t="shared" si="0"/>
        <v>0.39340793433652532</v>
      </c>
      <c r="F29" s="1">
        <f t="shared" si="6"/>
        <v>2.8000000000000012</v>
      </c>
      <c r="G29" s="1">
        <f t="shared" si="1"/>
        <v>0.98994949366116691</v>
      </c>
      <c r="H29" s="1">
        <v>0.39179999999999998</v>
      </c>
      <c r="I29" s="1">
        <v>0.39340793433652532</v>
      </c>
      <c r="J29" s="1">
        <f t="shared" si="2"/>
        <v>2.0908977090787038</v>
      </c>
      <c r="K29" s="1">
        <f t="shared" si="3"/>
        <v>4.1922875981008829</v>
      </c>
      <c r="P29" s="1">
        <v>0.98994949366116691</v>
      </c>
      <c r="Q29" s="1">
        <f t="shared" si="4"/>
        <v>0.66722329410060466</v>
      </c>
    </row>
    <row r="30" spans="1:17">
      <c r="A30" s="1">
        <f t="shared" si="5"/>
        <v>2.9000000000000012</v>
      </c>
      <c r="B30" s="1">
        <v>0.42549999999999999</v>
      </c>
      <c r="C30" s="1">
        <v>0.1462</v>
      </c>
      <c r="D30" s="1">
        <f t="shared" si="0"/>
        <v>0.42724623803009576</v>
      </c>
      <c r="F30" s="1">
        <f t="shared" si="6"/>
        <v>2.9000000000000012</v>
      </c>
      <c r="G30" s="1">
        <f t="shared" si="1"/>
        <v>1.0253048327204943</v>
      </c>
      <c r="H30" s="1">
        <v>0.42549999999999999</v>
      </c>
      <c r="I30" s="1">
        <v>0.42724623803009576</v>
      </c>
      <c r="J30" s="1">
        <f t="shared" si="2"/>
        <v>2.2468598238159094</v>
      </c>
      <c r="K30" s="1">
        <f t="shared" si="3"/>
        <v>4.0363254833636768</v>
      </c>
      <c r="P30" s="1">
        <v>1.0253048327204943</v>
      </c>
      <c r="Q30" s="1">
        <f t="shared" si="4"/>
        <v>0.64240115260511299</v>
      </c>
    </row>
    <row r="31" spans="1:17">
      <c r="A31" s="1">
        <f t="shared" si="5"/>
        <v>3.0000000000000013</v>
      </c>
      <c r="B31" s="1">
        <v>0.45419999999999999</v>
      </c>
      <c r="C31" s="1">
        <v>0.14610000000000001</v>
      </c>
      <c r="D31" s="1">
        <f t="shared" si="0"/>
        <v>0.456376180698152</v>
      </c>
      <c r="F31" s="1">
        <f t="shared" si="6"/>
        <v>3.0000000000000013</v>
      </c>
      <c r="G31" s="1">
        <f t="shared" si="1"/>
        <v>1.0606601717798216</v>
      </c>
      <c r="H31" s="1">
        <v>0.45419999999999999</v>
      </c>
      <c r="I31" s="1">
        <v>0.456376180698152</v>
      </c>
      <c r="J31" s="1">
        <f t="shared" si="2"/>
        <v>2.3987819863997766</v>
      </c>
      <c r="K31" s="1">
        <f t="shared" si="3"/>
        <v>3.8844033207798097</v>
      </c>
      <c r="P31" s="1">
        <v>1.0606601717798216</v>
      </c>
      <c r="Q31" s="1">
        <f t="shared" si="4"/>
        <v>0.61822198946467988</v>
      </c>
    </row>
    <row r="32" spans="1:17">
      <c r="A32" s="1">
        <f t="shared" si="5"/>
        <v>3.1000000000000014</v>
      </c>
      <c r="B32" s="1">
        <v>0.47789999999999999</v>
      </c>
      <c r="C32" s="1">
        <v>0.14610000000000001</v>
      </c>
      <c r="D32" s="1">
        <f t="shared" si="0"/>
        <v>0.48018973305954826</v>
      </c>
      <c r="F32" s="1">
        <f t="shared" si="6"/>
        <v>3.1000000000000014</v>
      </c>
      <c r="G32" s="1">
        <f t="shared" si="1"/>
        <v>1.0960155108391492</v>
      </c>
      <c r="H32" s="1">
        <v>0.47789999999999999</v>
      </c>
      <c r="I32" s="1">
        <v>0.48018973305954826</v>
      </c>
      <c r="J32" s="1">
        <f t="shared" si="2"/>
        <v>2.5448742473050583</v>
      </c>
      <c r="K32" s="1">
        <f t="shared" si="3"/>
        <v>3.7383110598745279</v>
      </c>
      <c r="P32" s="1">
        <v>1.0960155108391492</v>
      </c>
      <c r="Q32" s="1">
        <f t="shared" si="4"/>
        <v>0.59497068399413344</v>
      </c>
    </row>
    <row r="33" spans="1:21">
      <c r="A33" s="1">
        <f t="shared" si="5"/>
        <v>3.2000000000000015</v>
      </c>
      <c r="B33" s="1">
        <v>0.4965</v>
      </c>
      <c r="C33" s="1">
        <v>0.14610000000000001</v>
      </c>
      <c r="D33" s="1">
        <f t="shared" si="0"/>
        <v>0.49887885010266947</v>
      </c>
      <c r="F33" s="1">
        <f t="shared" si="6"/>
        <v>3.2000000000000015</v>
      </c>
      <c r="G33" s="1">
        <f t="shared" si="1"/>
        <v>1.1313708498984765</v>
      </c>
      <c r="H33" s="1">
        <v>0.4965</v>
      </c>
      <c r="I33" s="1">
        <v>0.49887885010266947</v>
      </c>
      <c r="J33" s="1">
        <f t="shared" si="2"/>
        <v>2.6866781662216219</v>
      </c>
      <c r="K33" s="1">
        <f t="shared" si="3"/>
        <v>3.5965071409579643</v>
      </c>
      <c r="P33" s="1">
        <v>1.1313708498984765</v>
      </c>
      <c r="Q33" s="1">
        <f t="shared" si="4"/>
        <v>0.57240188934876002</v>
      </c>
    </row>
    <row r="34" spans="1:21">
      <c r="A34" s="1">
        <f t="shared" si="5"/>
        <v>3.3000000000000016</v>
      </c>
      <c r="B34" s="1">
        <v>0.50990000000000002</v>
      </c>
      <c r="C34" s="1">
        <v>0.14610000000000001</v>
      </c>
      <c r="D34" s="1">
        <f t="shared" si="0"/>
        <v>0.51234305270362768</v>
      </c>
      <c r="F34" s="1">
        <f t="shared" si="6"/>
        <v>3.3000000000000016</v>
      </c>
      <c r="G34" s="1">
        <f t="shared" si="1"/>
        <v>1.166726188957804</v>
      </c>
      <c r="H34" s="1">
        <v>0.50990000000000002</v>
      </c>
      <c r="I34" s="1">
        <v>0.51234305270362768</v>
      </c>
      <c r="J34" s="1">
        <f t="shared" si="2"/>
        <v>2.8225356729037325</v>
      </c>
      <c r="K34" s="1">
        <f t="shared" si="3"/>
        <v>3.4606496342758537</v>
      </c>
      <c r="P34" s="1">
        <v>1.166726188957804</v>
      </c>
      <c r="Q34" s="1">
        <f t="shared" si="4"/>
        <v>0.55077949560416195</v>
      </c>
    </row>
    <row r="35" spans="1:21">
      <c r="A35" s="1">
        <f t="shared" si="5"/>
        <v>3.4000000000000017</v>
      </c>
      <c r="B35" s="1">
        <v>0.51859999999999995</v>
      </c>
      <c r="C35" s="1">
        <v>0.14610000000000001</v>
      </c>
      <c r="D35" s="1">
        <f t="shared" si="0"/>
        <v>0.52108473648186171</v>
      </c>
      <c r="F35" s="1">
        <f t="shared" si="6"/>
        <v>3.4000000000000017</v>
      </c>
      <c r="G35" s="1">
        <f t="shared" si="1"/>
        <v>1.2020815280171313</v>
      </c>
      <c r="H35" s="1">
        <v>0.51859999999999995</v>
      </c>
      <c r="I35" s="1">
        <v>0.52108473648186171</v>
      </c>
      <c r="J35" s="1">
        <f t="shared" si="2"/>
        <v>2.9558256653333794</v>
      </c>
      <c r="K35" s="1">
        <f t="shared" si="3"/>
        <v>3.3273596418462068</v>
      </c>
      <c r="P35" s="1">
        <v>1.2020815280171313</v>
      </c>
      <c r="Q35" s="1">
        <f t="shared" si="4"/>
        <v>0.52956573444430233</v>
      </c>
    </row>
    <row r="36" spans="1:21">
      <c r="A36" s="1">
        <f t="shared" si="5"/>
        <v>3.5000000000000018</v>
      </c>
      <c r="B36" s="1">
        <v>0.52280000000000004</v>
      </c>
      <c r="C36" s="1">
        <v>0.14610000000000001</v>
      </c>
      <c r="D36" s="1">
        <f t="shared" si="0"/>
        <v>0.52530485968514729</v>
      </c>
      <c r="F36" s="1">
        <f t="shared" si="6"/>
        <v>3.5000000000000018</v>
      </c>
      <c r="G36" s="1">
        <f t="shared" si="1"/>
        <v>1.2374368670764586</v>
      </c>
      <c r="H36" s="1">
        <v>0.52280000000000004</v>
      </c>
      <c r="I36" s="1">
        <v>0.52530485968514729</v>
      </c>
      <c r="J36" s="3">
        <f t="shared" si="2"/>
        <v>3.0936921826395416</v>
      </c>
      <c r="K36" s="3">
        <f t="shared" si="3"/>
        <v>3.1894931245400446</v>
      </c>
      <c r="L36" s="3" t="s">
        <v>11</v>
      </c>
      <c r="M36" s="3"/>
      <c r="N36" s="3"/>
      <c r="P36" s="1">
        <v>1.2374368670764586</v>
      </c>
      <c r="Q36" s="1">
        <f t="shared" si="4"/>
        <v>0.50762359672816226</v>
      </c>
    </row>
    <row r="37" spans="1:21">
      <c r="A37" s="1">
        <f t="shared" si="5"/>
        <v>3.6000000000000019</v>
      </c>
      <c r="B37" s="1">
        <v>0.52310000000000001</v>
      </c>
      <c r="C37" s="1">
        <v>0.14610000000000001</v>
      </c>
      <c r="D37" s="1">
        <f t="shared" si="0"/>
        <v>0.5256062970568105</v>
      </c>
      <c r="F37" s="1">
        <f t="shared" si="6"/>
        <v>3.6000000000000019</v>
      </c>
      <c r="G37" s="1">
        <f t="shared" si="1"/>
        <v>1.2727922061357861</v>
      </c>
      <c r="H37" s="1">
        <v>0.52310000000000001</v>
      </c>
      <c r="I37" s="1">
        <v>0.5256062970568105</v>
      </c>
      <c r="J37" s="2">
        <f t="shared" si="2"/>
        <v>3.1415926535897931</v>
      </c>
      <c r="K37" s="2">
        <v>3.1415926535897931</v>
      </c>
      <c r="L37" s="2" t="s">
        <v>12</v>
      </c>
      <c r="M37" s="2"/>
      <c r="N37" s="2"/>
      <c r="P37" s="1">
        <v>1.2727922061357861</v>
      </c>
      <c r="Q37" s="8">
        <f t="shared" si="4"/>
        <v>0.5</v>
      </c>
      <c r="R37" s="8" t="s">
        <v>13</v>
      </c>
      <c r="S37" s="8"/>
      <c r="T37" s="8"/>
      <c r="U37" s="8"/>
    </row>
    <row r="38" spans="1:21">
      <c r="A38" s="1">
        <f t="shared" si="5"/>
        <v>3.700000000000002</v>
      </c>
      <c r="B38" s="1">
        <v>0.51970000000000005</v>
      </c>
      <c r="C38" s="1">
        <v>0.14599999999999999</v>
      </c>
      <c r="D38" s="1">
        <f t="shared" si="0"/>
        <v>0.52254767123287693</v>
      </c>
      <c r="F38" s="1">
        <f t="shared" si="6"/>
        <v>3.700000000000002</v>
      </c>
      <c r="G38" s="1">
        <f t="shared" si="1"/>
        <v>1.3081475451951134</v>
      </c>
      <c r="H38" s="1">
        <v>0.51970000000000005</v>
      </c>
      <c r="I38" s="1">
        <v>0.52254767123287693</v>
      </c>
      <c r="J38" s="1">
        <f t="shared" si="2"/>
        <v>2.9888764908505965</v>
      </c>
      <c r="K38" s="1">
        <v>2.9888764908505965</v>
      </c>
      <c r="P38" s="1">
        <v>1.3081475451951134</v>
      </c>
      <c r="Q38" s="1">
        <f t="shared" si="4"/>
        <v>0.47569446781003055</v>
      </c>
    </row>
    <row r="39" spans="1:21">
      <c r="A39" s="1">
        <f t="shared" si="5"/>
        <v>3.800000000000002</v>
      </c>
      <c r="B39" s="1">
        <v>0.51319999999999999</v>
      </c>
      <c r="C39" s="1">
        <v>0.1459</v>
      </c>
      <c r="D39" s="1">
        <f t="shared" si="0"/>
        <v>0.5163657299520219</v>
      </c>
      <c r="F39" s="1">
        <f t="shared" si="6"/>
        <v>3.800000000000002</v>
      </c>
      <c r="G39" s="1">
        <f t="shared" si="1"/>
        <v>1.343502884254441</v>
      </c>
      <c r="H39" s="1">
        <v>0.51319999999999999</v>
      </c>
      <c r="I39" s="1">
        <v>0.5163657299520219</v>
      </c>
      <c r="J39" s="1">
        <f t="shared" si="2"/>
        <v>2.8756243697080581</v>
      </c>
      <c r="K39" s="1">
        <v>2.8756243697080581</v>
      </c>
      <c r="P39" s="1">
        <v>1.343502884254441</v>
      </c>
      <c r="Q39" s="1">
        <f t="shared" si="4"/>
        <v>0.45766983291455338</v>
      </c>
    </row>
    <row r="40" spans="1:21">
      <c r="A40" s="1">
        <f t="shared" si="5"/>
        <v>3.9000000000000021</v>
      </c>
      <c r="B40" s="1">
        <v>0.50460000000000005</v>
      </c>
      <c r="C40" s="1">
        <v>0.1459</v>
      </c>
      <c r="D40" s="1">
        <f t="shared" si="0"/>
        <v>0.50771267991775193</v>
      </c>
      <c r="F40" s="1">
        <f t="shared" si="6"/>
        <v>3.9000000000000021</v>
      </c>
      <c r="G40" s="1">
        <f t="shared" si="1"/>
        <v>1.3788582233137683</v>
      </c>
      <c r="H40" s="1">
        <v>0.50460000000000005</v>
      </c>
      <c r="I40" s="1">
        <v>0.50771267991775193</v>
      </c>
      <c r="J40" s="1">
        <f t="shared" si="2"/>
        <v>2.7704470623948025</v>
      </c>
      <c r="K40" s="1">
        <v>2.7704470623948025</v>
      </c>
      <c r="P40" s="1">
        <v>1.3788582233137683</v>
      </c>
      <c r="Q40" s="1">
        <f t="shared" si="4"/>
        <v>0.44093034455455343</v>
      </c>
    </row>
    <row r="41" spans="1:21">
      <c r="A41" s="1">
        <f t="shared" si="5"/>
        <v>4.0000000000000018</v>
      </c>
      <c r="B41" s="1">
        <v>0.49359999999999998</v>
      </c>
      <c r="C41" s="1">
        <v>0.14580000000000001</v>
      </c>
      <c r="D41" s="1">
        <f t="shared" si="0"/>
        <v>0.49698545953360768</v>
      </c>
      <c r="F41" s="1">
        <f t="shared" si="6"/>
        <v>4.0000000000000018</v>
      </c>
      <c r="G41" s="1">
        <f t="shared" si="1"/>
        <v>1.4142135623730956</v>
      </c>
      <c r="H41" s="1">
        <v>0.49359999999999998</v>
      </c>
      <c r="I41" s="1">
        <v>0.49698545953360768</v>
      </c>
      <c r="J41" s="1">
        <f t="shared" si="2"/>
        <v>2.670546492228187</v>
      </c>
      <c r="K41" s="1">
        <v>2.670546492228187</v>
      </c>
      <c r="P41" s="1">
        <v>1.4142135623730956</v>
      </c>
      <c r="Q41" s="1">
        <f t="shared" si="4"/>
        <v>0.42503067499483782</v>
      </c>
    </row>
    <row r="42" spans="1:21">
      <c r="A42" s="1">
        <f t="shared" si="5"/>
        <v>4.1000000000000014</v>
      </c>
      <c r="B42" s="1">
        <v>0.48159999999999997</v>
      </c>
      <c r="C42" s="1">
        <v>0.14580000000000001</v>
      </c>
      <c r="D42" s="1">
        <f t="shared" si="0"/>
        <v>0.48490315500685871</v>
      </c>
      <c r="F42" s="1">
        <f t="shared" si="6"/>
        <v>4.1000000000000014</v>
      </c>
      <c r="G42" s="1">
        <f t="shared" si="1"/>
        <v>1.4495689014324229</v>
      </c>
      <c r="H42" s="1">
        <v>0.48159999999999997</v>
      </c>
      <c r="I42" s="1">
        <v>0.48490315500685871</v>
      </c>
      <c r="J42" s="1">
        <f t="shared" si="2"/>
        <v>2.5775845754344022</v>
      </c>
      <c r="K42" s="1">
        <v>2.5775845754344022</v>
      </c>
      <c r="P42" s="1">
        <v>1.4495689014324229</v>
      </c>
      <c r="Q42" s="1">
        <f t="shared" si="4"/>
        <v>0.41023532641780952</v>
      </c>
    </row>
    <row r="43" spans="1:21">
      <c r="A43" s="1">
        <f t="shared" si="5"/>
        <v>4.2000000000000011</v>
      </c>
      <c r="B43" s="1">
        <v>0.46860000000000002</v>
      </c>
      <c r="C43" s="1">
        <v>0.14580000000000001</v>
      </c>
      <c r="D43" s="1">
        <f t="shared" si="0"/>
        <v>0.47181399176954736</v>
      </c>
      <c r="F43" s="1">
        <f t="shared" si="6"/>
        <v>4.2000000000000011</v>
      </c>
      <c r="G43" s="1">
        <f t="shared" si="1"/>
        <v>1.48492424049175</v>
      </c>
      <c r="H43" s="1">
        <v>0.46860000000000002</v>
      </c>
      <c r="I43" s="1">
        <v>0.47181399176954736</v>
      </c>
      <c r="J43" s="1">
        <f t="shared" si="2"/>
        <v>2.4903205832309205</v>
      </c>
      <c r="K43" s="1">
        <v>2.4903205832309205</v>
      </c>
      <c r="P43" s="1">
        <v>1.48492424049175</v>
      </c>
      <c r="Q43" s="1">
        <f t="shared" si="4"/>
        <v>0.39634683070469279</v>
      </c>
    </row>
    <row r="44" spans="1:21">
      <c r="A44" s="1">
        <f t="shared" si="5"/>
        <v>4.3000000000000007</v>
      </c>
      <c r="B44" s="1">
        <v>0.45479999999999998</v>
      </c>
      <c r="C44" s="1">
        <v>0.14580000000000001</v>
      </c>
      <c r="D44" s="1">
        <f t="shared" si="0"/>
        <v>0.45791934156378594</v>
      </c>
      <c r="F44" s="1">
        <f t="shared" si="6"/>
        <v>4.3000000000000007</v>
      </c>
      <c r="G44" s="1">
        <f t="shared" si="1"/>
        <v>1.5202795795510773</v>
      </c>
      <c r="H44" s="1">
        <v>0.45479999999999998</v>
      </c>
      <c r="I44" s="1">
        <v>0.45791934156378594</v>
      </c>
      <c r="J44" s="1">
        <f t="shared" si="2"/>
        <v>2.4075051790042328</v>
      </c>
      <c r="K44" s="1">
        <v>2.4075051790042328</v>
      </c>
      <c r="P44" s="1">
        <v>1.5202795795510773</v>
      </c>
      <c r="Q44" s="1">
        <f t="shared" si="4"/>
        <v>0.38316634975786196</v>
      </c>
    </row>
    <row r="45" spans="1:21">
      <c r="A45" s="1">
        <f t="shared" si="5"/>
        <v>4.4000000000000004</v>
      </c>
      <c r="B45" s="1">
        <v>0.44040000000000001</v>
      </c>
      <c r="C45" s="1">
        <v>0.14580000000000001</v>
      </c>
      <c r="D45" s="1">
        <f t="shared" si="0"/>
        <v>0.44342057613168728</v>
      </c>
      <c r="F45" s="1">
        <f t="shared" si="6"/>
        <v>4.4000000000000004</v>
      </c>
      <c r="G45" s="1">
        <f t="shared" si="1"/>
        <v>1.5556349186104046</v>
      </c>
      <c r="H45" s="1">
        <v>0.44040000000000001</v>
      </c>
      <c r="I45" s="1">
        <v>0.44342057613168728</v>
      </c>
      <c r="J45" s="1">
        <f t="shared" si="2"/>
        <v>2.3285241229580387</v>
      </c>
      <c r="K45" s="1">
        <v>2.3285241229580387</v>
      </c>
      <c r="P45" s="1">
        <v>1.5556349186104046</v>
      </c>
      <c r="Q45" s="1">
        <f t="shared" si="4"/>
        <v>0.37059612427749217</v>
      </c>
    </row>
    <row r="46" spans="1:21">
      <c r="A46" s="1">
        <f t="shared" si="5"/>
        <v>4.5</v>
      </c>
      <c r="B46" s="1">
        <v>0.42559999999999998</v>
      </c>
      <c r="C46" s="1">
        <v>0.14580000000000001</v>
      </c>
      <c r="D46" s="1">
        <f t="shared" si="0"/>
        <v>0.42851906721536354</v>
      </c>
      <c r="F46" s="1">
        <f t="shared" si="6"/>
        <v>4.5</v>
      </c>
      <c r="G46" s="1">
        <f t="shared" si="1"/>
        <v>1.5909902576697319</v>
      </c>
      <c r="H46" s="1">
        <v>0.42559999999999998</v>
      </c>
      <c r="I46" s="1">
        <v>0.42851906721536354</v>
      </c>
      <c r="J46" s="1">
        <f t="shared" si="2"/>
        <v>2.253084403481314</v>
      </c>
      <c r="K46" s="1">
        <v>2.253084403481314</v>
      </c>
      <c r="P46" s="1">
        <v>1.5909902576697319</v>
      </c>
      <c r="Q46" s="1">
        <f t="shared" si="4"/>
        <v>0.35858952001730549</v>
      </c>
    </row>
    <row r="47" spans="1:21">
      <c r="A47" s="1">
        <f t="shared" si="5"/>
        <v>4.5999999999999996</v>
      </c>
      <c r="B47" s="1">
        <v>0.4108</v>
      </c>
      <c r="C47" s="1">
        <v>0.14580000000000001</v>
      </c>
      <c r="D47" s="1">
        <f t="shared" si="0"/>
        <v>0.41361755829903979</v>
      </c>
      <c r="F47" s="1">
        <f t="shared" si="6"/>
        <v>4.5999999999999996</v>
      </c>
      <c r="G47" s="1">
        <f t="shared" si="1"/>
        <v>1.626345596729059</v>
      </c>
      <c r="H47" s="1">
        <v>0.4108</v>
      </c>
      <c r="I47" s="1">
        <v>0.41361755829903979</v>
      </c>
      <c r="J47" s="1">
        <f t="shared" si="2"/>
        <v>2.1820179727917659</v>
      </c>
      <c r="K47" s="1">
        <v>2.1820179727917659</v>
      </c>
      <c r="P47" s="1">
        <v>1.626345596729059</v>
      </c>
      <c r="Q47" s="1">
        <f t="shared" si="4"/>
        <v>0.34727894628516637</v>
      </c>
    </row>
    <row r="48" spans="1:21">
      <c r="A48" s="1">
        <f t="shared" si="5"/>
        <v>4.6999999999999993</v>
      </c>
      <c r="B48" s="1">
        <v>0.39600000000000002</v>
      </c>
      <c r="C48" s="1">
        <v>0.14580000000000001</v>
      </c>
      <c r="D48" s="1">
        <f t="shared" si="0"/>
        <v>0.39871604938271604</v>
      </c>
      <c r="F48" s="1">
        <f t="shared" si="6"/>
        <v>4.6999999999999993</v>
      </c>
      <c r="G48" s="1">
        <f t="shared" si="1"/>
        <v>1.6617009357883863</v>
      </c>
      <c r="H48" s="1">
        <v>0.39600000000000002</v>
      </c>
      <c r="I48" s="1">
        <v>0.39871604938271604</v>
      </c>
      <c r="J48" s="1">
        <f t="shared" si="2"/>
        <v>2.1143329724771576</v>
      </c>
      <c r="K48" s="1">
        <v>2.1143329724771576</v>
      </c>
      <c r="P48" s="1">
        <v>1.6617009357883863</v>
      </c>
      <c r="Q48" s="1">
        <f t="shared" si="4"/>
        <v>0.33650654391191992</v>
      </c>
    </row>
    <row r="49" spans="1:20">
      <c r="A49" s="1">
        <f t="shared" si="5"/>
        <v>4.7999999999999989</v>
      </c>
      <c r="B49" s="1">
        <v>0.38129999999999997</v>
      </c>
      <c r="C49" s="1">
        <v>0.14580000000000001</v>
      </c>
      <c r="D49" s="1">
        <f t="shared" si="0"/>
        <v>0.38391522633744851</v>
      </c>
      <c r="F49" s="1">
        <f t="shared" si="6"/>
        <v>4.7999999999999989</v>
      </c>
      <c r="G49" s="1">
        <f t="shared" si="1"/>
        <v>1.6970562748477136</v>
      </c>
      <c r="H49" s="1">
        <v>0.38129999999999997</v>
      </c>
      <c r="I49" s="1">
        <v>0.38391522633744851</v>
      </c>
      <c r="J49" s="1">
        <f t="shared" si="2"/>
        <v>2.0497458282205856</v>
      </c>
      <c r="K49" s="1">
        <v>2.0497458282205856</v>
      </c>
      <c r="P49" s="1">
        <v>1.6970562748477136</v>
      </c>
      <c r="Q49" s="1">
        <f t="shared" si="4"/>
        <v>0.3262271806432972</v>
      </c>
    </row>
    <row r="50" spans="1:20">
      <c r="A50" s="1">
        <f t="shared" si="5"/>
        <v>4.8999999999999986</v>
      </c>
      <c r="B50" s="1">
        <v>0.36709999999999998</v>
      </c>
      <c r="C50" s="1">
        <v>0.14580000000000001</v>
      </c>
      <c r="D50" s="1">
        <f t="shared" si="0"/>
        <v>0.36961783264746229</v>
      </c>
      <c r="F50" s="1">
        <f t="shared" si="6"/>
        <v>4.8999999999999986</v>
      </c>
      <c r="G50" s="1">
        <f t="shared" si="1"/>
        <v>1.7324116139070409</v>
      </c>
      <c r="H50" s="1">
        <v>0.36709999999999998</v>
      </c>
      <c r="I50" s="1">
        <v>0.36961783264746229</v>
      </c>
      <c r="J50" s="1">
        <f t="shared" si="2"/>
        <v>1.9893547042850672</v>
      </c>
      <c r="K50" s="1">
        <v>1.9893547042850672</v>
      </c>
      <c r="P50" s="1">
        <v>1.7324116139070409</v>
      </c>
      <c r="Q50" s="1">
        <f t="shared" si="4"/>
        <v>0.31661563475008414</v>
      </c>
    </row>
    <row r="51" spans="1:20">
      <c r="A51" s="1">
        <f t="shared" si="5"/>
        <v>4.9999999999999982</v>
      </c>
      <c r="B51" s="1">
        <v>0.35310000000000002</v>
      </c>
      <c r="C51" s="1">
        <v>0.14580000000000001</v>
      </c>
      <c r="D51" s="1">
        <f t="shared" si="0"/>
        <v>0.35552181069958849</v>
      </c>
      <c r="F51" s="1">
        <f t="shared" si="6"/>
        <v>4.9999999999999982</v>
      </c>
      <c r="G51" s="1">
        <f t="shared" si="1"/>
        <v>1.767766952966368</v>
      </c>
      <c r="H51" s="1">
        <v>0.35310000000000002</v>
      </c>
      <c r="I51" s="1">
        <v>0.35552181069958849</v>
      </c>
      <c r="J51" s="1">
        <f t="shared" si="2"/>
        <v>1.9313651242431245</v>
      </c>
      <c r="K51" s="1">
        <v>1.9313651242431245</v>
      </c>
      <c r="P51" s="1">
        <v>1.767766952966368</v>
      </c>
      <c r="Q51" s="1">
        <f t="shared" si="4"/>
        <v>0.30738630643858583</v>
      </c>
    </row>
    <row r="52" spans="1:20">
      <c r="A52" s="1">
        <f t="shared" si="5"/>
        <v>5.0999999999999979</v>
      </c>
      <c r="B52" s="1">
        <v>0.3397</v>
      </c>
      <c r="C52" s="1">
        <v>0.14580000000000001</v>
      </c>
      <c r="D52" s="1">
        <f t="shared" si="0"/>
        <v>0.34202990397805211</v>
      </c>
      <c r="F52" s="1">
        <f t="shared" si="6"/>
        <v>5.0999999999999979</v>
      </c>
      <c r="G52" s="1">
        <f t="shared" si="1"/>
        <v>1.8031222920256953</v>
      </c>
      <c r="H52" s="1">
        <v>0.3397</v>
      </c>
      <c r="I52" s="1">
        <v>0.34202990397805211</v>
      </c>
      <c r="J52" s="1">
        <f t="shared" si="2"/>
        <v>1.8770282994449143</v>
      </c>
      <c r="K52" s="1">
        <v>1.8770282994449143</v>
      </c>
      <c r="P52" s="1">
        <v>1.8031222920256953</v>
      </c>
      <c r="Q52" s="1">
        <f t="shared" si="4"/>
        <v>0.29873833218003243</v>
      </c>
    </row>
    <row r="53" spans="1:20">
      <c r="A53" s="1">
        <f t="shared" si="5"/>
        <v>5.1999999999999975</v>
      </c>
      <c r="B53" s="1">
        <v>0.3266</v>
      </c>
      <c r="C53" s="1">
        <v>0.14580000000000001</v>
      </c>
      <c r="D53" s="1">
        <f t="shared" si="0"/>
        <v>0.32884005486968448</v>
      </c>
      <c r="F53" s="1">
        <f t="shared" si="6"/>
        <v>5.1999999999999975</v>
      </c>
      <c r="G53" s="1">
        <f t="shared" si="1"/>
        <v>1.8384776310850226</v>
      </c>
      <c r="H53" s="1">
        <v>0.3266</v>
      </c>
      <c r="I53" s="1">
        <v>0.32884005486968448</v>
      </c>
      <c r="J53" s="1">
        <f t="shared" si="2"/>
        <v>1.8247977295259468</v>
      </c>
      <c r="K53" s="1">
        <v>1.8247977295259468</v>
      </c>
      <c r="P53" s="1">
        <v>1.8384776310850226</v>
      </c>
      <c r="Q53" s="1">
        <f t="shared" si="4"/>
        <v>0.29042557879692188</v>
      </c>
    </row>
    <row r="54" spans="1:20">
      <c r="A54" s="1">
        <f t="shared" si="5"/>
        <v>5.2999999999999972</v>
      </c>
      <c r="B54" s="1">
        <v>0.31390000000000001</v>
      </c>
      <c r="C54" s="1">
        <v>0.14580000000000001</v>
      </c>
      <c r="D54" s="1">
        <f t="shared" si="0"/>
        <v>0.31605294924554184</v>
      </c>
      <c r="F54" s="1">
        <f t="shared" si="6"/>
        <v>5.2999999999999972</v>
      </c>
      <c r="G54" s="1">
        <f t="shared" si="1"/>
        <v>1.8738329701443499</v>
      </c>
      <c r="H54" s="1">
        <v>0.31390000000000001</v>
      </c>
      <c r="I54" s="1">
        <v>0.31605294924554184</v>
      </c>
      <c r="J54" s="1">
        <f t="shared" si="2"/>
        <v>1.7748314426927529</v>
      </c>
      <c r="K54" s="1">
        <v>1.7748314426927529</v>
      </c>
      <c r="P54" s="1">
        <v>1.8738329701443499</v>
      </c>
      <c r="Q54" s="1">
        <f t="shared" si="4"/>
        <v>0.28247319725947162</v>
      </c>
    </row>
    <row r="55" spans="1:20">
      <c r="A55" s="1">
        <f t="shared" si="5"/>
        <v>5.3999999999999968</v>
      </c>
      <c r="B55" s="1">
        <v>0.30180000000000001</v>
      </c>
      <c r="C55" s="1">
        <v>0.14580000000000001</v>
      </c>
      <c r="D55" s="1">
        <f t="shared" si="0"/>
        <v>0.30386995884773665</v>
      </c>
      <c r="F55" s="1">
        <f t="shared" si="6"/>
        <v>5.3999999999999968</v>
      </c>
      <c r="G55" s="1">
        <f t="shared" si="1"/>
        <v>1.909188309203677</v>
      </c>
      <c r="H55" s="1">
        <v>0.30180000000000001</v>
      </c>
      <c r="I55" s="1">
        <v>0.30386995884773665</v>
      </c>
      <c r="J55" s="1">
        <f t="shared" si="2"/>
        <v>1.7277039078687297</v>
      </c>
      <c r="K55" s="1">
        <v>1.7277039078687297</v>
      </c>
      <c r="P55" s="1">
        <v>1.909188309203677</v>
      </c>
      <c r="Q55" s="1">
        <f t="shared" si="4"/>
        <v>0.27497261713649285</v>
      </c>
    </row>
    <row r="56" spans="1:20">
      <c r="A56" s="1">
        <f t="shared" si="5"/>
        <v>5.4999999999999964</v>
      </c>
      <c r="B56" s="1">
        <v>0.29020000000000001</v>
      </c>
      <c r="C56" s="1">
        <v>0.14580000000000001</v>
      </c>
      <c r="D56" s="1">
        <f t="shared" si="0"/>
        <v>0.29219039780521261</v>
      </c>
      <c r="F56" s="1">
        <f t="shared" si="6"/>
        <v>5.4999999999999964</v>
      </c>
      <c r="G56" s="1">
        <f t="shared" si="1"/>
        <v>1.9445436482630043</v>
      </c>
      <c r="H56" s="1">
        <v>0.29020000000000001</v>
      </c>
      <c r="I56" s="1">
        <v>0.29219039780521261</v>
      </c>
      <c r="J56" s="1">
        <f t="shared" si="2"/>
        <v>1.6828529774402092</v>
      </c>
      <c r="K56" s="1">
        <v>1.6828529774402092</v>
      </c>
      <c r="P56" s="1">
        <v>1.9445436482630043</v>
      </c>
      <c r="Q56" s="1">
        <f t="shared" si="4"/>
        <v>0.26783436985652315</v>
      </c>
    </row>
    <row r="57" spans="1:20">
      <c r="A57" s="1">
        <f t="shared" si="5"/>
        <v>5.5999999999999961</v>
      </c>
      <c r="B57" s="1">
        <v>0.27910000000000001</v>
      </c>
      <c r="C57" s="1">
        <v>0.14580000000000001</v>
      </c>
      <c r="D57" s="1">
        <f t="shared" si="0"/>
        <v>0.28101426611796987</v>
      </c>
      <c r="F57" s="1">
        <f t="shared" si="6"/>
        <v>5.5999999999999961</v>
      </c>
      <c r="G57" s="1">
        <f t="shared" si="1"/>
        <v>1.9798989873223316</v>
      </c>
      <c r="H57" s="1">
        <v>0.27910000000000001</v>
      </c>
      <c r="I57" s="1">
        <v>0.28101426611796987</v>
      </c>
      <c r="J57" s="1">
        <f t="shared" si="2"/>
        <v>1.6401475651702977</v>
      </c>
      <c r="K57" s="1">
        <v>1.6401475651702977</v>
      </c>
      <c r="P57" s="1">
        <v>1.9798989873223316</v>
      </c>
      <c r="Q57" s="1">
        <f t="shared" si="4"/>
        <v>0.26103759239698943</v>
      </c>
    </row>
    <row r="58" spans="1:20">
      <c r="A58" s="1">
        <f t="shared" si="5"/>
        <v>5.6999999999999957</v>
      </c>
      <c r="B58" s="1">
        <v>0.26860000000000001</v>
      </c>
      <c r="C58" s="1">
        <v>0.14580000000000001</v>
      </c>
      <c r="D58" s="1">
        <f t="shared" si="0"/>
        <v>0.27044224965706448</v>
      </c>
      <c r="F58" s="1">
        <f t="shared" si="6"/>
        <v>5.6999999999999957</v>
      </c>
      <c r="G58" s="1">
        <f t="shared" si="1"/>
        <v>2.0152543263816587</v>
      </c>
      <c r="H58" s="1">
        <v>0.26860000000000001</v>
      </c>
      <c r="I58" s="1">
        <v>0.27044224965706448</v>
      </c>
      <c r="J58" s="1">
        <f t="shared" si="2"/>
        <v>1.5998681904244421</v>
      </c>
      <c r="K58" s="1">
        <v>1.5998681904244421</v>
      </c>
      <c r="P58" s="1">
        <v>2.0152543263816587</v>
      </c>
      <c r="Q58" s="1">
        <f t="shared" si="4"/>
        <v>0.25462693080153564</v>
      </c>
    </row>
    <row r="59" spans="1:20">
      <c r="A59" s="1">
        <f t="shared" si="5"/>
        <v>5.7999999999999954</v>
      </c>
      <c r="B59" s="1">
        <v>0.25850000000000001</v>
      </c>
      <c r="C59" s="1">
        <v>0.14580000000000001</v>
      </c>
      <c r="D59" s="1">
        <f t="shared" si="0"/>
        <v>0.26027297668038407</v>
      </c>
      <c r="F59" s="1">
        <f t="shared" si="6"/>
        <v>5.7999999999999954</v>
      </c>
      <c r="G59" s="1">
        <f t="shared" si="1"/>
        <v>2.050609665440986</v>
      </c>
      <c r="H59" s="1">
        <v>0.25850000000000001</v>
      </c>
      <c r="I59" s="1">
        <v>0.26027297668038407</v>
      </c>
      <c r="J59" s="1">
        <f t="shared" si="2"/>
        <v>1.561168546643477</v>
      </c>
      <c r="K59" s="1">
        <v>1.561168546643477</v>
      </c>
      <c r="P59" s="1">
        <v>2.050609665440986</v>
      </c>
      <c r="Q59" s="4">
        <f t="shared" si="4"/>
        <v>0.24846769119789955</v>
      </c>
      <c r="R59" s="4" t="s">
        <v>14</v>
      </c>
      <c r="S59" s="4"/>
      <c r="T59" s="4"/>
    </row>
    <row r="60" spans="1:20">
      <c r="A60" s="1">
        <f t="shared" si="5"/>
        <v>5.899999999999995</v>
      </c>
      <c r="B60" s="1">
        <v>0.24879999999999999</v>
      </c>
      <c r="C60" s="1">
        <v>0.14580000000000001</v>
      </c>
      <c r="D60" s="1">
        <f t="shared" si="0"/>
        <v>0.25050644718792864</v>
      </c>
      <c r="F60" s="1">
        <f t="shared" si="6"/>
        <v>5.899999999999995</v>
      </c>
      <c r="G60" s="1">
        <f t="shared" si="1"/>
        <v>2.0859650045003133</v>
      </c>
      <c r="H60" s="1">
        <v>0.24879999999999999</v>
      </c>
      <c r="I60" s="1">
        <v>0.25050644718792864</v>
      </c>
      <c r="J60" s="1">
        <f t="shared" si="2"/>
        <v>1.523988696029595</v>
      </c>
      <c r="K60" s="1">
        <v>1.523988696029595</v>
      </c>
      <c r="P60" s="1">
        <v>2.0859650045003133</v>
      </c>
      <c r="Q60" s="1">
        <f t="shared" si="4"/>
        <v>0.24255033418928199</v>
      </c>
    </row>
    <row r="61" spans="1:20">
      <c r="A61" s="1">
        <f t="shared" si="5"/>
        <v>5.9999999999999947</v>
      </c>
      <c r="B61" s="1">
        <v>0.23960000000000001</v>
      </c>
      <c r="C61" s="1">
        <v>0.14580000000000001</v>
      </c>
      <c r="D61" s="1">
        <f t="shared" si="0"/>
        <v>0.24124334705075445</v>
      </c>
      <c r="F61" s="1">
        <f t="shared" si="6"/>
        <v>5.9999999999999947</v>
      </c>
      <c r="G61" s="1">
        <f t="shared" si="1"/>
        <v>2.1213203435596406</v>
      </c>
      <c r="H61" s="1">
        <v>0.23960000000000001</v>
      </c>
      <c r="I61" s="1">
        <v>0.24124334705075445</v>
      </c>
      <c r="J61" s="1">
        <f t="shared" si="2"/>
        <v>1.488666189510599</v>
      </c>
      <c r="K61" s="1">
        <v>1.488666189510599</v>
      </c>
      <c r="P61" s="1">
        <v>2.1213203435596406</v>
      </c>
      <c r="Q61" s="1">
        <f t="shared" si="4"/>
        <v>0.23692858267438807</v>
      </c>
    </row>
    <row r="62" spans="1:20">
      <c r="A62" s="1">
        <f t="shared" si="5"/>
        <v>6.0999999999999943</v>
      </c>
      <c r="B62" s="1">
        <v>0.23080000000000001</v>
      </c>
      <c r="C62" s="1">
        <v>0.14580000000000001</v>
      </c>
      <c r="D62" s="1">
        <f t="shared" si="0"/>
        <v>0.23238299039780524</v>
      </c>
      <c r="F62" s="1">
        <f t="shared" si="6"/>
        <v>6.0999999999999943</v>
      </c>
      <c r="G62" s="1">
        <f t="shared" si="1"/>
        <v>2.1566756826189679</v>
      </c>
      <c r="H62" s="1">
        <v>0.23080000000000001</v>
      </c>
      <c r="I62" s="1">
        <v>0.23238299039780524</v>
      </c>
      <c r="J62" s="1">
        <f t="shared" si="2"/>
        <v>1.4547836275052792</v>
      </c>
      <c r="K62" s="1">
        <v>1.4547836275052792</v>
      </c>
      <c r="P62" s="1">
        <v>2.1566756826189679</v>
      </c>
      <c r="Q62" s="1">
        <f t="shared" si="4"/>
        <v>0.23153600544662378</v>
      </c>
    </row>
    <row r="63" spans="1:20">
      <c r="A63" s="1">
        <f t="shared" si="5"/>
        <v>6.199999999999994</v>
      </c>
      <c r="B63" s="1">
        <v>0.22270000000000001</v>
      </c>
      <c r="C63" s="1">
        <v>0.14580000000000001</v>
      </c>
      <c r="D63" s="1">
        <f t="shared" si="0"/>
        <v>0.22422743484224966</v>
      </c>
      <c r="F63" s="1">
        <f t="shared" si="6"/>
        <v>6.199999999999994</v>
      </c>
      <c r="G63" s="1">
        <f t="shared" si="1"/>
        <v>2.1920310216782952</v>
      </c>
      <c r="H63" s="1">
        <v>0.22270000000000001</v>
      </c>
      <c r="I63" s="1">
        <v>0.22422743484224966</v>
      </c>
      <c r="J63" s="1">
        <f t="shared" si="2"/>
        <v>1.4234784581773039</v>
      </c>
      <c r="K63" s="1">
        <v>1.4234784581773039</v>
      </c>
      <c r="P63" s="1">
        <v>2.1920310216782952</v>
      </c>
      <c r="Q63" s="1">
        <f t="shared" si="4"/>
        <v>0.22655363300374773</v>
      </c>
    </row>
    <row r="64" spans="1:20">
      <c r="A64" s="1">
        <f t="shared" si="5"/>
        <v>6.2999999999999936</v>
      </c>
      <c r="B64" s="1">
        <v>0.21479999999999999</v>
      </c>
      <c r="C64" s="1">
        <v>0.14580000000000001</v>
      </c>
      <c r="D64" s="1">
        <f t="shared" si="0"/>
        <v>0.21627325102880657</v>
      </c>
      <c r="F64" s="1">
        <f t="shared" si="6"/>
        <v>6.2999999999999936</v>
      </c>
      <c r="G64" s="1">
        <f t="shared" si="1"/>
        <v>2.2273863607376221</v>
      </c>
      <c r="H64" s="1">
        <v>0.21479999999999999</v>
      </c>
      <c r="I64" s="1">
        <v>0.21627325102880657</v>
      </c>
      <c r="J64" s="1">
        <f t="shared" si="2"/>
        <v>1.3928057212363094</v>
      </c>
      <c r="K64" s="1">
        <v>1.3928057212363094</v>
      </c>
      <c r="P64" s="1">
        <v>2.2273863607376221</v>
      </c>
      <c r="Q64" s="1">
        <f t="shared" si="4"/>
        <v>0.22167191530143107</v>
      </c>
    </row>
    <row r="65" spans="1:17">
      <c r="A65" s="1">
        <f t="shared" si="5"/>
        <v>6.3999999999999932</v>
      </c>
      <c r="B65" s="1">
        <v>0.20749999999999999</v>
      </c>
      <c r="C65" s="1">
        <v>0.1457</v>
      </c>
      <c r="D65" s="1">
        <f t="shared" si="0"/>
        <v>0.20906657515442692</v>
      </c>
      <c r="F65" s="1">
        <f t="shared" si="6"/>
        <v>6.3999999999999932</v>
      </c>
      <c r="G65" s="1">
        <f t="shared" si="1"/>
        <v>2.2627416997969494</v>
      </c>
      <c r="H65" s="1">
        <v>0.20749999999999999</v>
      </c>
      <c r="I65" s="1">
        <v>0.20906657515442692</v>
      </c>
      <c r="J65" s="1">
        <f t="shared" si="2"/>
        <v>1.364869371701865</v>
      </c>
      <c r="K65" s="1">
        <v>1.364869371701865</v>
      </c>
      <c r="P65" s="1">
        <v>2.2627416997969494</v>
      </c>
      <c r="Q65" s="1">
        <f t="shared" si="4"/>
        <v>0.21722570718108128</v>
      </c>
    </row>
    <row r="66" spans="1:17">
      <c r="A66" s="1">
        <f t="shared" si="5"/>
        <v>6.4999999999999929</v>
      </c>
      <c r="B66" s="1">
        <v>0.20030000000000001</v>
      </c>
      <c r="C66" s="1">
        <v>0.14560000000000001</v>
      </c>
      <c r="D66" s="1">
        <f t="shared" si="0"/>
        <v>0.20195082417582419</v>
      </c>
      <c r="F66" s="1">
        <f t="shared" si="6"/>
        <v>6.4999999999999929</v>
      </c>
      <c r="G66" s="1">
        <f t="shared" si="1"/>
        <v>2.2980970388562767</v>
      </c>
      <c r="H66" s="1">
        <v>0.20030000000000001</v>
      </c>
      <c r="I66" s="1">
        <v>0.20195082417582419</v>
      </c>
      <c r="J66" s="1">
        <f t="shared" si="2"/>
        <v>1.3371246454931767</v>
      </c>
      <c r="K66" s="1">
        <v>1.3371246454931767</v>
      </c>
      <c r="P66" s="1">
        <v>2.2980970388562767</v>
      </c>
      <c r="Q66" s="1">
        <f t="shared" si="4"/>
        <v>0.21280999686023727</v>
      </c>
    </row>
    <row r="67" spans="1:17">
      <c r="A67" s="1">
        <f>A66+0.1</f>
        <v>6.5999999999999925</v>
      </c>
      <c r="B67" s="1">
        <v>0.19359999999999999</v>
      </c>
      <c r="C67" s="1">
        <v>0.14560000000000001</v>
      </c>
      <c r="D67" s="1">
        <f t="shared" ref="D67:D111" si="7">B67*MAX(C$2:C$111)/C67</f>
        <v>0.19519560439560441</v>
      </c>
      <c r="F67" s="1">
        <f>F66+0.1</f>
        <v>6.5999999999999925</v>
      </c>
      <c r="G67" s="1">
        <f t="shared" ref="G67:G111" si="8">F67/2/SQRT(2)</f>
        <v>2.333452377915604</v>
      </c>
      <c r="H67" s="1">
        <v>0.19359999999999999</v>
      </c>
      <c r="I67" s="1">
        <v>0.19519560439560441</v>
      </c>
      <c r="J67" s="1">
        <f t="shared" ref="J67:J111" si="9">ACOS(1-2*(I67/MAX(I$3:I$111)))</f>
        <v>1.3106153340893121</v>
      </c>
      <c r="K67" s="1">
        <v>1.3106153340893121</v>
      </c>
      <c r="P67" s="1">
        <v>2.333452377915604</v>
      </c>
      <c r="Q67" s="1">
        <f t="shared" ref="Q67:Q111" si="10">K67/2/PI()</f>
        <v>0.20859090891234985</v>
      </c>
    </row>
    <row r="68" spans="1:17">
      <c r="A68" s="1">
        <f t="shared" si="5"/>
        <v>6.6999999999999922</v>
      </c>
      <c r="B68" s="1">
        <v>0.18720000000000001</v>
      </c>
      <c r="C68" s="1">
        <v>0.14560000000000001</v>
      </c>
      <c r="D68" s="1">
        <f t="shared" si="7"/>
        <v>0.18874285714285716</v>
      </c>
      <c r="F68" s="1">
        <f t="shared" ref="F68:F81" si="11">F67+0.1</f>
        <v>6.6999999999999922</v>
      </c>
      <c r="G68" s="1">
        <f t="shared" si="8"/>
        <v>2.3688077169749313</v>
      </c>
      <c r="H68" s="1">
        <v>0.18720000000000001</v>
      </c>
      <c r="I68" s="1">
        <v>0.18874285714285716</v>
      </c>
      <c r="J68" s="1">
        <f t="shared" si="9"/>
        <v>1.2851173277049941</v>
      </c>
      <c r="K68" s="1">
        <v>1.2851173277049941</v>
      </c>
      <c r="P68" s="1">
        <v>2.3688077169749313</v>
      </c>
      <c r="Q68" s="1">
        <f t="shared" si="10"/>
        <v>0.20453277515729695</v>
      </c>
    </row>
    <row r="69" spans="1:17">
      <c r="A69" s="1">
        <f t="shared" ref="A69:A81" si="12">A68+0.1</f>
        <v>6.7999999999999918</v>
      </c>
      <c r="B69" s="1">
        <v>0.18110000000000001</v>
      </c>
      <c r="C69" s="1">
        <v>0.14560000000000001</v>
      </c>
      <c r="D69" s="1">
        <f t="shared" si="7"/>
        <v>0.18259258241758244</v>
      </c>
      <c r="F69" s="1">
        <f t="shared" si="11"/>
        <v>6.7999999999999918</v>
      </c>
      <c r="G69" s="1">
        <f t="shared" si="8"/>
        <v>2.4041630560342586</v>
      </c>
      <c r="H69" s="1">
        <v>0.18110000000000001</v>
      </c>
      <c r="I69" s="1">
        <v>0.18259258241758244</v>
      </c>
      <c r="J69" s="1">
        <f t="shared" si="9"/>
        <v>1.2606357162687332</v>
      </c>
      <c r="K69" s="1">
        <v>1.2606357162687332</v>
      </c>
      <c r="P69" s="1">
        <v>2.4041630560342586</v>
      </c>
      <c r="Q69" s="1">
        <f t="shared" si="10"/>
        <v>0.20063640568236096</v>
      </c>
    </row>
    <row r="70" spans="1:17">
      <c r="A70" s="1">
        <f t="shared" si="12"/>
        <v>6.8999999999999915</v>
      </c>
      <c r="B70" s="1">
        <v>0.17530000000000001</v>
      </c>
      <c r="C70" s="1">
        <v>0.14560000000000001</v>
      </c>
      <c r="D70" s="1">
        <f t="shared" si="7"/>
        <v>0.17674478021978024</v>
      </c>
      <c r="F70" s="1">
        <f t="shared" si="11"/>
        <v>6.8999999999999915</v>
      </c>
      <c r="G70" s="1">
        <f t="shared" si="8"/>
        <v>2.4395183950935859</v>
      </c>
      <c r="H70" s="1">
        <v>0.17530000000000001</v>
      </c>
      <c r="I70" s="1">
        <v>0.17674478021978024</v>
      </c>
      <c r="J70" s="1">
        <f t="shared" si="9"/>
        <v>1.2371788026468344</v>
      </c>
      <c r="K70" s="1">
        <v>1.2371788026468344</v>
      </c>
      <c r="P70" s="1">
        <v>2.4395183950935859</v>
      </c>
      <c r="Q70" s="1">
        <f t="shared" si="10"/>
        <v>0.19690312192975615</v>
      </c>
    </row>
    <row r="71" spans="1:17">
      <c r="A71" s="1">
        <f t="shared" si="12"/>
        <v>6.9999999999999911</v>
      </c>
      <c r="B71" s="1">
        <v>0.16969999999999999</v>
      </c>
      <c r="C71" s="1">
        <v>0.14560000000000001</v>
      </c>
      <c r="D71" s="1">
        <f t="shared" si="7"/>
        <v>0.17109862637362636</v>
      </c>
      <c r="F71" s="1">
        <f t="shared" si="11"/>
        <v>6.9999999999999911</v>
      </c>
      <c r="G71" s="1">
        <f t="shared" si="8"/>
        <v>2.4748737341529132</v>
      </c>
      <c r="H71" s="1">
        <v>0.16969999999999999</v>
      </c>
      <c r="I71" s="1">
        <v>0.17109862637362636</v>
      </c>
      <c r="J71" s="1">
        <f t="shared" si="9"/>
        <v>1.2143484703559884</v>
      </c>
      <c r="K71" s="1">
        <v>1.2143484703559884</v>
      </c>
      <c r="P71" s="1">
        <v>2.4748737341529132</v>
      </c>
      <c r="Q71" s="1">
        <f t="shared" si="10"/>
        <v>0.19326956169323747</v>
      </c>
    </row>
    <row r="72" spans="1:17">
      <c r="A72" s="1">
        <f t="shared" si="12"/>
        <v>7.0999999999999908</v>
      </c>
      <c r="B72" s="1">
        <v>0.16450000000000001</v>
      </c>
      <c r="C72" s="1">
        <v>0.14560000000000001</v>
      </c>
      <c r="D72" s="1">
        <f t="shared" si="7"/>
        <v>0.16585576923076925</v>
      </c>
      <c r="F72" s="1">
        <f t="shared" si="11"/>
        <v>7.0999999999999908</v>
      </c>
      <c r="G72" s="1">
        <f t="shared" si="8"/>
        <v>2.5102290732122401</v>
      </c>
      <c r="H72" s="1">
        <v>0.16450000000000001</v>
      </c>
      <c r="I72" s="1">
        <v>0.16585576923076925</v>
      </c>
      <c r="J72" s="1">
        <f t="shared" si="9"/>
        <v>1.1929739304533791</v>
      </c>
      <c r="K72" s="1">
        <v>1.1929739304533791</v>
      </c>
      <c r="P72" s="1">
        <v>2.5102290732122401</v>
      </c>
      <c r="Q72" s="1">
        <f t="shared" si="10"/>
        <v>0.18986769801142225</v>
      </c>
    </row>
    <row r="73" spans="1:17">
      <c r="A73" s="1">
        <f t="shared" si="12"/>
        <v>7.1999999999999904</v>
      </c>
      <c r="B73" s="1">
        <v>0.1595</v>
      </c>
      <c r="C73" s="1">
        <v>0.14560000000000001</v>
      </c>
      <c r="D73" s="1">
        <f t="shared" si="7"/>
        <v>0.16081456043956047</v>
      </c>
      <c r="F73" s="1">
        <f t="shared" si="11"/>
        <v>7.1999999999999904</v>
      </c>
      <c r="G73" s="1">
        <f t="shared" si="8"/>
        <v>2.5455844122715674</v>
      </c>
      <c r="H73" s="1">
        <v>0.1595</v>
      </c>
      <c r="I73" s="1">
        <v>0.16081456043956047</v>
      </c>
      <c r="J73" s="1">
        <f t="shared" si="9"/>
        <v>1.1722491640280284</v>
      </c>
      <c r="K73" s="1">
        <v>1.1722491640280284</v>
      </c>
      <c r="P73" s="1">
        <v>2.5455844122715674</v>
      </c>
      <c r="Q73" s="1">
        <f t="shared" si="10"/>
        <v>0.18656924899040275</v>
      </c>
    </row>
    <row r="74" spans="1:17">
      <c r="A74" s="1">
        <f t="shared" si="12"/>
        <v>7.2999999999999901</v>
      </c>
      <c r="B74" s="1">
        <v>0.1547</v>
      </c>
      <c r="C74" s="1">
        <v>0.14560000000000001</v>
      </c>
      <c r="D74" s="1">
        <f t="shared" si="7"/>
        <v>0.155975</v>
      </c>
      <c r="F74" s="1">
        <f t="shared" si="11"/>
        <v>7.2999999999999901</v>
      </c>
      <c r="G74" s="1">
        <f t="shared" si="8"/>
        <v>2.5809397513308947</v>
      </c>
      <c r="H74" s="1">
        <v>0.1547</v>
      </c>
      <c r="I74" s="1">
        <v>0.155975</v>
      </c>
      <c r="J74" s="1">
        <f t="shared" si="9"/>
        <v>1.1521818742089298</v>
      </c>
      <c r="K74" s="1">
        <v>1.1521818742089298</v>
      </c>
      <c r="P74" s="1">
        <v>2.5809397513308947</v>
      </c>
      <c r="Q74" s="1">
        <f t="shared" si="10"/>
        <v>0.18337544062123554</v>
      </c>
    </row>
    <row r="75" spans="1:17">
      <c r="A75" s="1">
        <f t="shared" si="12"/>
        <v>7.3999999999999897</v>
      </c>
      <c r="B75" s="1">
        <v>0.14979999999999999</v>
      </c>
      <c r="C75" s="1">
        <v>0.1454</v>
      </c>
      <c r="D75" s="1">
        <f t="shared" si="7"/>
        <v>0.15124236588720769</v>
      </c>
      <c r="F75" s="1">
        <f t="shared" si="11"/>
        <v>7.3999999999999897</v>
      </c>
      <c r="G75" s="1">
        <f t="shared" si="8"/>
        <v>2.616295090390222</v>
      </c>
      <c r="H75" s="1">
        <v>0.14979999999999999</v>
      </c>
      <c r="I75" s="1">
        <v>0.15124236588720769</v>
      </c>
      <c r="J75" s="1">
        <f t="shared" si="9"/>
        <v>1.1323831820177772</v>
      </c>
      <c r="K75" s="1">
        <v>1.1323831820177772</v>
      </c>
      <c r="P75" s="1">
        <v>2.616295090390222</v>
      </c>
      <c r="Q75" s="1">
        <f t="shared" si="10"/>
        <v>0.1802243808922587</v>
      </c>
    </row>
    <row r="76" spans="1:17">
      <c r="A76" s="1">
        <f t="shared" si="12"/>
        <v>7.4999999999999893</v>
      </c>
      <c r="B76" s="1">
        <v>0.14560000000000001</v>
      </c>
      <c r="C76" s="1">
        <v>0.1454</v>
      </c>
      <c r="D76" s="1">
        <f t="shared" si="7"/>
        <v>0.14700192572214582</v>
      </c>
      <c r="F76" s="1">
        <f t="shared" si="11"/>
        <v>7.4999999999999893</v>
      </c>
      <c r="G76" s="1">
        <f t="shared" si="8"/>
        <v>2.6516504294495493</v>
      </c>
      <c r="H76" s="1">
        <v>0.14560000000000001</v>
      </c>
      <c r="I76" s="1">
        <v>0.14700192572214582</v>
      </c>
      <c r="J76" s="1">
        <f t="shared" si="9"/>
        <v>1.1144863436131791</v>
      </c>
      <c r="K76" s="1">
        <v>1.1144863436131791</v>
      </c>
      <c r="P76" s="1">
        <v>2.6516504294495493</v>
      </c>
      <c r="Q76" s="1">
        <f t="shared" si="10"/>
        <v>0.17737601059445005</v>
      </c>
    </row>
    <row r="77" spans="1:17">
      <c r="A77" s="1">
        <f t="shared" si="12"/>
        <v>7.599999999999989</v>
      </c>
      <c r="B77" s="1">
        <v>0.1414</v>
      </c>
      <c r="C77" s="1">
        <v>0.1454</v>
      </c>
      <c r="D77" s="1">
        <f t="shared" si="7"/>
        <v>0.14276148555708393</v>
      </c>
      <c r="F77" s="1">
        <f t="shared" si="11"/>
        <v>7.599999999999989</v>
      </c>
      <c r="G77" s="1">
        <f t="shared" si="8"/>
        <v>2.6870057685088766</v>
      </c>
      <c r="H77" s="1">
        <v>0.1414</v>
      </c>
      <c r="I77" s="1">
        <v>0.14276148555708393</v>
      </c>
      <c r="J77" s="1">
        <f t="shared" si="9"/>
        <v>1.0964308626927322</v>
      </c>
      <c r="K77" s="1">
        <v>1.0964308626927322</v>
      </c>
      <c r="P77" s="1">
        <v>2.6870057685088766</v>
      </c>
      <c r="Q77" s="1">
        <f t="shared" si="10"/>
        <v>0.17450239155605951</v>
      </c>
    </row>
    <row r="78" spans="1:17">
      <c r="A78" s="1">
        <f t="shared" si="12"/>
        <v>7.6999999999999886</v>
      </c>
      <c r="B78" s="1">
        <v>0.13730000000000001</v>
      </c>
      <c r="C78" s="1">
        <v>0.1454</v>
      </c>
      <c r="D78" s="1">
        <f t="shared" si="7"/>
        <v>0.13862200825309492</v>
      </c>
      <c r="F78" s="1">
        <f t="shared" si="11"/>
        <v>7.6999999999999886</v>
      </c>
      <c r="G78" s="1">
        <f t="shared" si="8"/>
        <v>2.7223611075682039</v>
      </c>
      <c r="H78" s="1">
        <v>0.13730000000000001</v>
      </c>
      <c r="I78" s="1">
        <v>0.13862200825309492</v>
      </c>
      <c r="J78" s="1">
        <f t="shared" si="9"/>
        <v>1.0786423561901581</v>
      </c>
      <c r="K78" s="1">
        <v>1.0786423561901581</v>
      </c>
      <c r="P78" s="1">
        <v>2.7223611075682039</v>
      </c>
      <c r="Q78" s="1">
        <f t="shared" si="10"/>
        <v>0.17167126281595252</v>
      </c>
    </row>
    <row r="79" spans="1:17">
      <c r="A79" s="1">
        <f t="shared" si="12"/>
        <v>7.7999999999999883</v>
      </c>
      <c r="B79" s="1">
        <v>0.13350000000000001</v>
      </c>
      <c r="C79" s="1">
        <v>0.14530000000000001</v>
      </c>
      <c r="D79" s="1">
        <f t="shared" si="7"/>
        <v>0.13487818306951135</v>
      </c>
      <c r="F79" s="1">
        <f t="shared" si="11"/>
        <v>7.7999999999999883</v>
      </c>
      <c r="G79" s="1">
        <f t="shared" si="8"/>
        <v>2.7577164466275308</v>
      </c>
      <c r="H79" s="1">
        <v>0.13350000000000001</v>
      </c>
      <c r="I79" s="1">
        <v>0.13487818306951135</v>
      </c>
      <c r="J79" s="1">
        <f t="shared" si="9"/>
        <v>1.0624068335684345</v>
      </c>
      <c r="K79" s="1">
        <v>1.0624068335684345</v>
      </c>
      <c r="P79" s="1">
        <v>2.7577164466275308</v>
      </c>
      <c r="Q79" s="1">
        <f t="shared" si="10"/>
        <v>0.16908729913702492</v>
      </c>
    </row>
    <row r="80" spans="1:17">
      <c r="A80" s="1">
        <f t="shared" si="12"/>
        <v>7.8999999999999879</v>
      </c>
      <c r="B80" s="1">
        <v>0.1298</v>
      </c>
      <c r="C80" s="1">
        <v>0.1454</v>
      </c>
      <c r="D80" s="1">
        <f t="shared" si="7"/>
        <v>0.13104979367262723</v>
      </c>
      <c r="F80" s="1">
        <f t="shared" si="11"/>
        <v>7.8999999999999879</v>
      </c>
      <c r="G80" s="1">
        <f t="shared" si="8"/>
        <v>2.7930717856868581</v>
      </c>
      <c r="H80" s="1">
        <v>0.1298</v>
      </c>
      <c r="I80" s="1">
        <v>0.13104979367262723</v>
      </c>
      <c r="J80" s="1">
        <f t="shared" si="9"/>
        <v>1.0456512120154859</v>
      </c>
      <c r="K80" s="1">
        <v>1.0456512120154859</v>
      </c>
      <c r="P80" s="1">
        <v>2.7930717856868581</v>
      </c>
      <c r="Q80" s="1">
        <f t="shared" si="10"/>
        <v>0.16642055914229606</v>
      </c>
    </row>
    <row r="81" spans="1:17">
      <c r="A81" s="1">
        <f t="shared" si="12"/>
        <v>7.9999999999999876</v>
      </c>
      <c r="B81" s="1">
        <v>0.1263</v>
      </c>
      <c r="C81" s="1">
        <v>0.1454</v>
      </c>
      <c r="D81" s="1">
        <f t="shared" si="7"/>
        <v>0.12751609353507565</v>
      </c>
      <c r="F81" s="1">
        <f t="shared" si="11"/>
        <v>7.9999999999999876</v>
      </c>
      <c r="G81" s="1">
        <f t="shared" si="8"/>
        <v>2.8284271247461854</v>
      </c>
      <c r="H81" s="1">
        <v>0.1263</v>
      </c>
      <c r="I81" s="1">
        <v>0.12751609353507565</v>
      </c>
      <c r="J81" s="1">
        <f t="shared" si="9"/>
        <v>1.0300397614063446</v>
      </c>
      <c r="K81" s="1">
        <v>1.0300397614063446</v>
      </c>
      <c r="P81" s="1">
        <v>2.8284271247461854</v>
      </c>
      <c r="Q81" s="1">
        <f t="shared" si="10"/>
        <v>0.16393591960901621</v>
      </c>
    </row>
    <row r="82" spans="1:17">
      <c r="A82" s="1">
        <f>A81+0.2</f>
        <v>8.1999999999999869</v>
      </c>
      <c r="B82" s="1">
        <v>0.1197</v>
      </c>
      <c r="C82" s="1">
        <v>0.1454</v>
      </c>
      <c r="D82" s="1">
        <f t="shared" si="7"/>
        <v>0.12085254470426411</v>
      </c>
      <c r="F82" s="1">
        <f>F81+0.2</f>
        <v>8.1999999999999869</v>
      </c>
      <c r="G82" s="1">
        <f t="shared" si="8"/>
        <v>2.89913780286484</v>
      </c>
      <c r="H82" s="1">
        <v>0.1197</v>
      </c>
      <c r="I82" s="1">
        <v>0.12085254470426411</v>
      </c>
      <c r="J82" s="1">
        <f t="shared" si="9"/>
        <v>1.0001923688733085</v>
      </c>
      <c r="K82" s="1">
        <v>1.0001923688733085</v>
      </c>
      <c r="P82" s="1">
        <v>2.89913780286484</v>
      </c>
      <c r="Q82" s="1">
        <f t="shared" si="10"/>
        <v>0.15918555954897942</v>
      </c>
    </row>
    <row r="83" spans="1:17">
      <c r="A83" s="1">
        <f t="shared" ref="A83:A91" si="13">A82+0.2</f>
        <v>8.3999999999999861</v>
      </c>
      <c r="B83" s="1">
        <v>0.1135</v>
      </c>
      <c r="C83" s="1">
        <v>0.1454</v>
      </c>
      <c r="D83" s="1">
        <f t="shared" si="7"/>
        <v>0.11459284731774416</v>
      </c>
      <c r="F83" s="1">
        <f t="shared" ref="F83:F91" si="14">F82+0.2</f>
        <v>8.3999999999999861</v>
      </c>
      <c r="G83" s="1">
        <f t="shared" si="8"/>
        <v>2.9698484809834946</v>
      </c>
      <c r="H83" s="1">
        <v>0.1135</v>
      </c>
      <c r="I83" s="1">
        <v>0.11459284731774416</v>
      </c>
      <c r="J83" s="1">
        <f t="shared" si="9"/>
        <v>0.97162374567454302</v>
      </c>
      <c r="K83" s="1">
        <v>0.97162374567454302</v>
      </c>
      <c r="P83" s="1">
        <v>2.9698484809834946</v>
      </c>
      <c r="Q83" s="1">
        <f t="shared" si="10"/>
        <v>0.1546387219495661</v>
      </c>
    </row>
    <row r="84" spans="1:17">
      <c r="A84" s="1">
        <f t="shared" si="13"/>
        <v>8.5999999999999854</v>
      </c>
      <c r="B84" s="1">
        <v>0.10780000000000001</v>
      </c>
      <c r="C84" s="1">
        <v>0.14510000000000001</v>
      </c>
      <c r="D84" s="1">
        <f t="shared" si="7"/>
        <v>0.10906299104066162</v>
      </c>
      <c r="F84" s="1">
        <f t="shared" si="14"/>
        <v>8.5999999999999854</v>
      </c>
      <c r="G84" s="1">
        <f t="shared" si="8"/>
        <v>3.0405591591021488</v>
      </c>
      <c r="H84" s="1">
        <v>0.10780000000000001</v>
      </c>
      <c r="I84" s="1">
        <v>0.10906299104066162</v>
      </c>
      <c r="J84" s="1">
        <f t="shared" si="9"/>
        <v>0.94591478833694809</v>
      </c>
      <c r="K84" s="1">
        <v>0.94591478833694809</v>
      </c>
      <c r="P84" s="1">
        <v>3.0405591591021488</v>
      </c>
      <c r="Q84" s="1">
        <f t="shared" si="10"/>
        <v>0.15054701430754919</v>
      </c>
    </row>
    <row r="85" spans="1:17">
      <c r="A85" s="1">
        <f t="shared" si="13"/>
        <v>8.7999999999999847</v>
      </c>
      <c r="B85" s="1">
        <v>0.1026</v>
      </c>
      <c r="C85" s="1">
        <v>0.14510000000000001</v>
      </c>
      <c r="D85" s="1">
        <f t="shared" si="7"/>
        <v>0.10380206753962784</v>
      </c>
      <c r="F85" s="1">
        <f t="shared" si="14"/>
        <v>8.7999999999999847</v>
      </c>
      <c r="G85" s="1">
        <f t="shared" si="8"/>
        <v>3.1112698372208034</v>
      </c>
      <c r="H85" s="1">
        <v>0.1026</v>
      </c>
      <c r="I85" s="1">
        <v>0.10380206753962784</v>
      </c>
      <c r="J85" s="1">
        <f t="shared" si="9"/>
        <v>0.92100572262562286</v>
      </c>
      <c r="K85" s="1">
        <v>0.92100572262562286</v>
      </c>
      <c r="P85" s="1">
        <v>3.1112698372208034</v>
      </c>
      <c r="Q85" s="1">
        <f t="shared" si="10"/>
        <v>0.14658261337179096</v>
      </c>
    </row>
    <row r="86" spans="1:17">
      <c r="A86" s="1">
        <f t="shared" si="13"/>
        <v>8.999999999999984</v>
      </c>
      <c r="B86" s="1">
        <v>9.7699999999999995E-2</v>
      </c>
      <c r="C86" s="1">
        <v>0.14510000000000001</v>
      </c>
      <c r="D86" s="1">
        <f t="shared" si="7"/>
        <v>9.8844658855961401E-2</v>
      </c>
      <c r="F86" s="1">
        <f t="shared" si="14"/>
        <v>8.999999999999984</v>
      </c>
      <c r="G86" s="1">
        <f t="shared" si="8"/>
        <v>3.181980515339458</v>
      </c>
      <c r="H86" s="1">
        <v>9.7699999999999995E-2</v>
      </c>
      <c r="I86" s="1">
        <v>9.8844658855961401E-2</v>
      </c>
      <c r="J86" s="1">
        <f t="shared" si="9"/>
        <v>0.89709452558277214</v>
      </c>
      <c r="K86" s="1">
        <v>0.89709452558277214</v>
      </c>
      <c r="P86" s="1">
        <v>3.181980515339458</v>
      </c>
      <c r="Q86" s="1">
        <f t="shared" si="10"/>
        <v>0.14277702816717694</v>
      </c>
    </row>
    <row r="87" spans="1:17">
      <c r="A87" s="1">
        <f t="shared" si="13"/>
        <v>9.1999999999999833</v>
      </c>
      <c r="B87" s="1">
        <v>9.3299999999999994E-2</v>
      </c>
      <c r="C87" s="1">
        <v>0.14510000000000001</v>
      </c>
      <c r="D87" s="1">
        <f t="shared" si="7"/>
        <v>9.4393108201240528E-2</v>
      </c>
      <c r="F87" s="1">
        <f t="shared" si="14"/>
        <v>9.1999999999999833</v>
      </c>
      <c r="G87" s="1">
        <f t="shared" si="8"/>
        <v>3.2526911934581126</v>
      </c>
      <c r="H87" s="1">
        <v>9.3299999999999994E-2</v>
      </c>
      <c r="I87" s="1">
        <v>9.4393108201240528E-2</v>
      </c>
      <c r="J87" s="1">
        <f t="shared" si="9"/>
        <v>0.8752277882901992</v>
      </c>
      <c r="K87" s="1">
        <v>0.8752277882901992</v>
      </c>
      <c r="P87" s="1">
        <v>3.2526911934581126</v>
      </c>
      <c r="Q87" s="1">
        <f t="shared" si="10"/>
        <v>0.13929682883777209</v>
      </c>
    </row>
    <row r="88" spans="1:17">
      <c r="A88" s="1">
        <f t="shared" si="13"/>
        <v>9.3999999999999826</v>
      </c>
      <c r="B88" s="1">
        <v>8.8999999999999996E-2</v>
      </c>
      <c r="C88" s="1">
        <v>0.14499999999999999</v>
      </c>
      <c r="D88" s="1">
        <f t="shared" si="7"/>
        <v>9.0104827586206915E-2</v>
      </c>
      <c r="F88" s="1">
        <f t="shared" si="14"/>
        <v>9.3999999999999826</v>
      </c>
      <c r="G88" s="1">
        <f t="shared" si="8"/>
        <v>3.3234018715767668</v>
      </c>
      <c r="H88" s="1">
        <v>8.8999999999999996E-2</v>
      </c>
      <c r="I88" s="1">
        <v>9.0104827586206915E-2</v>
      </c>
      <c r="J88" s="1">
        <f t="shared" si="9"/>
        <v>0.85377884672895332</v>
      </c>
      <c r="K88" s="1">
        <v>0.85377884672895332</v>
      </c>
      <c r="P88" s="1">
        <v>3.3234018715767668</v>
      </c>
      <c r="Q88" s="1">
        <f t="shared" si="10"/>
        <v>0.13588312376421061</v>
      </c>
    </row>
    <row r="89" spans="1:17">
      <c r="A89" s="1">
        <f t="shared" si="13"/>
        <v>9.5999999999999819</v>
      </c>
      <c r="B89" s="1">
        <v>8.5099999999999995E-2</v>
      </c>
      <c r="C89" s="1">
        <v>0.14510000000000001</v>
      </c>
      <c r="D89" s="1">
        <f t="shared" si="7"/>
        <v>8.609703652653343E-2</v>
      </c>
      <c r="F89" s="1">
        <f t="shared" si="14"/>
        <v>9.5999999999999819</v>
      </c>
      <c r="G89" s="1">
        <f t="shared" si="8"/>
        <v>3.3941125496954214</v>
      </c>
      <c r="H89" s="1">
        <v>8.5099999999999995E-2</v>
      </c>
      <c r="I89" s="1">
        <v>8.609703652653343E-2</v>
      </c>
      <c r="J89" s="1">
        <f t="shared" si="9"/>
        <v>0.83336388415109086</v>
      </c>
      <c r="K89" s="1">
        <v>0.83336388415109086</v>
      </c>
      <c r="P89" s="1">
        <v>3.3941125496954214</v>
      </c>
      <c r="Q89" s="1">
        <f t="shared" si="10"/>
        <v>0.13263398155690773</v>
      </c>
    </row>
    <row r="90" spans="1:17">
      <c r="A90" s="1">
        <f t="shared" si="13"/>
        <v>9.7999999999999812</v>
      </c>
      <c r="B90" s="1">
        <v>8.1500000000000003E-2</v>
      </c>
      <c r="C90" s="1">
        <v>0.14510000000000001</v>
      </c>
      <c r="D90" s="1">
        <f t="shared" si="7"/>
        <v>8.245485871812544E-2</v>
      </c>
      <c r="F90" s="1">
        <f t="shared" si="14"/>
        <v>9.7999999999999812</v>
      </c>
      <c r="G90" s="1">
        <f t="shared" si="8"/>
        <v>3.464823227814076</v>
      </c>
      <c r="H90" s="1">
        <v>8.1500000000000003E-2</v>
      </c>
      <c r="I90" s="1">
        <v>8.245485871812544E-2</v>
      </c>
      <c r="J90" s="1">
        <f t="shared" si="9"/>
        <v>0.8144774280140098</v>
      </c>
      <c r="K90" s="1">
        <v>0.8144774280140098</v>
      </c>
      <c r="P90" s="1">
        <v>3.464823227814076</v>
      </c>
      <c r="Q90" s="1">
        <f t="shared" si="10"/>
        <v>0.12962810870520303</v>
      </c>
    </row>
    <row r="91" spans="1:17">
      <c r="A91" s="1">
        <f t="shared" si="13"/>
        <v>9.9999999999999805</v>
      </c>
      <c r="B91" s="1">
        <v>7.8100000000000003E-2</v>
      </c>
      <c r="C91" s="1">
        <v>0.14530000000000001</v>
      </c>
      <c r="D91" s="1">
        <f t="shared" si="7"/>
        <v>7.8906262904335861E-2</v>
      </c>
      <c r="F91" s="1">
        <f t="shared" si="14"/>
        <v>9.9999999999999805</v>
      </c>
      <c r="G91" s="1">
        <f t="shared" si="8"/>
        <v>3.5355339059327306</v>
      </c>
      <c r="H91" s="1">
        <v>7.8100000000000003E-2</v>
      </c>
      <c r="I91" s="1">
        <v>7.8906262904335861E-2</v>
      </c>
      <c r="J91" s="1">
        <f t="shared" si="9"/>
        <v>0.79574680312677204</v>
      </c>
      <c r="K91" s="1">
        <v>0.79574680312677204</v>
      </c>
      <c r="P91" s="1">
        <v>3.5355339059327306</v>
      </c>
      <c r="Q91" s="1">
        <f t="shared" si="10"/>
        <v>0.12664703716719905</v>
      </c>
    </row>
    <row r="92" spans="1:17">
      <c r="A92" s="1">
        <f>A91+0.5</f>
        <v>10.49999999999998</v>
      </c>
      <c r="B92" s="1">
        <v>7.0499999999999993E-2</v>
      </c>
      <c r="C92" s="1">
        <v>0.14530000000000001</v>
      </c>
      <c r="D92" s="1">
        <f t="shared" si="7"/>
        <v>7.1227804542326217E-2</v>
      </c>
      <c r="F92" s="1">
        <f>F91+0.5</f>
        <v>10.49999999999998</v>
      </c>
      <c r="G92" s="1">
        <f t="shared" si="8"/>
        <v>3.7123106012293672</v>
      </c>
      <c r="H92" s="1">
        <v>7.0499999999999993E-2</v>
      </c>
      <c r="I92" s="1">
        <v>7.1227804542326217E-2</v>
      </c>
      <c r="J92" s="1">
        <f t="shared" si="9"/>
        <v>0.75398171701308958</v>
      </c>
      <c r="K92" s="1">
        <v>0.75398171701308958</v>
      </c>
      <c r="P92" s="1">
        <v>3.7123106012293672</v>
      </c>
      <c r="Q92" s="1">
        <f t="shared" si="10"/>
        <v>0.11999991726354781</v>
      </c>
    </row>
    <row r="93" spans="1:17">
      <c r="A93" s="1">
        <f t="shared" ref="A93:A111" si="15">A92+0.5</f>
        <v>10.99999999999998</v>
      </c>
      <c r="B93" s="1">
        <v>6.4000000000000001E-2</v>
      </c>
      <c r="C93" s="1">
        <v>0.14530000000000001</v>
      </c>
      <c r="D93" s="1">
        <f t="shared" si="7"/>
        <v>6.4660701995870609E-2</v>
      </c>
      <c r="F93" s="1">
        <f t="shared" ref="F93:F111" si="16">F92+0.5</f>
        <v>10.99999999999998</v>
      </c>
      <c r="G93" s="1">
        <f t="shared" si="8"/>
        <v>3.8890872965260042</v>
      </c>
      <c r="H93" s="1">
        <v>6.4000000000000001E-2</v>
      </c>
      <c r="I93" s="1">
        <v>6.4660701995870609E-2</v>
      </c>
      <c r="J93" s="1">
        <f t="shared" si="9"/>
        <v>0.71673035788847428</v>
      </c>
      <c r="K93" s="1">
        <v>0.71673035788847428</v>
      </c>
      <c r="P93" s="1">
        <v>3.8890872965260042</v>
      </c>
      <c r="Q93" s="1">
        <f t="shared" si="10"/>
        <v>0.1140711793219739</v>
      </c>
    </row>
    <row r="94" spans="1:17">
      <c r="A94" s="1">
        <f t="shared" si="15"/>
        <v>11.49999999999998</v>
      </c>
      <c r="B94" s="1">
        <v>5.8299999999999998E-2</v>
      </c>
      <c r="C94" s="1">
        <v>0.14530000000000001</v>
      </c>
      <c r="D94" s="1">
        <f t="shared" si="7"/>
        <v>5.8901858224363383E-2</v>
      </c>
      <c r="F94" s="1">
        <f t="shared" si="16"/>
        <v>11.49999999999998</v>
      </c>
      <c r="G94" s="1">
        <f t="shared" si="8"/>
        <v>4.0658639918226411</v>
      </c>
      <c r="H94" s="1">
        <v>5.8299999999999998E-2</v>
      </c>
      <c r="I94" s="1">
        <v>5.8901858224363383E-2</v>
      </c>
      <c r="J94" s="1">
        <f t="shared" si="9"/>
        <v>0.68270212522158957</v>
      </c>
      <c r="K94" s="1">
        <v>0.68270212522158957</v>
      </c>
      <c r="P94" s="1">
        <v>4.0658639918226411</v>
      </c>
      <c r="Q94" s="1">
        <f t="shared" si="10"/>
        <v>0.1086554178883581</v>
      </c>
    </row>
    <row r="95" spans="1:17">
      <c r="A95" s="1">
        <f t="shared" si="15"/>
        <v>11.99999999999998</v>
      </c>
      <c r="B95" s="1">
        <v>5.3400000000000003E-2</v>
      </c>
      <c r="C95" s="1">
        <v>0.14530000000000001</v>
      </c>
      <c r="D95" s="1">
        <f t="shared" si="7"/>
        <v>5.3951273227804547E-2</v>
      </c>
      <c r="F95" s="1">
        <f t="shared" si="16"/>
        <v>11.99999999999998</v>
      </c>
      <c r="G95" s="1">
        <f t="shared" si="8"/>
        <v>4.2426406871192777</v>
      </c>
      <c r="H95" s="1">
        <v>5.3400000000000003E-2</v>
      </c>
      <c r="I95" s="1">
        <v>5.3951273227804547E-2</v>
      </c>
      <c r="J95" s="1">
        <f t="shared" si="9"/>
        <v>0.65226926545781871</v>
      </c>
      <c r="K95" s="1">
        <v>0.65226926545781871</v>
      </c>
      <c r="P95" s="1">
        <v>4.2426406871192777</v>
      </c>
      <c r="Q95" s="1">
        <f t="shared" si="10"/>
        <v>0.10381187782453151</v>
      </c>
    </row>
    <row r="96" spans="1:17">
      <c r="A96" s="1">
        <f t="shared" si="15"/>
        <v>12.49999999999998</v>
      </c>
      <c r="B96" s="1">
        <v>4.9099999999999998E-2</v>
      </c>
      <c r="C96" s="1">
        <v>0.14530000000000001</v>
      </c>
      <c r="D96" s="1">
        <f t="shared" si="7"/>
        <v>4.9606882312456989E-2</v>
      </c>
      <c r="F96" s="1">
        <f t="shared" si="16"/>
        <v>12.49999999999998</v>
      </c>
      <c r="G96" s="1">
        <f t="shared" si="8"/>
        <v>4.4194173824159151</v>
      </c>
      <c r="H96" s="1">
        <v>4.9099999999999998E-2</v>
      </c>
      <c r="I96" s="1">
        <v>4.9606882312456989E-2</v>
      </c>
      <c r="J96" s="1">
        <f t="shared" si="9"/>
        <v>0.62452766458726061</v>
      </c>
      <c r="K96" s="1">
        <v>0.62452766458726061</v>
      </c>
      <c r="P96" s="1">
        <v>4.4194173824159151</v>
      </c>
      <c r="Q96" s="1">
        <f t="shared" si="10"/>
        <v>9.9396664916699767E-2</v>
      </c>
    </row>
    <row r="97" spans="1:17">
      <c r="A97" s="1">
        <f t="shared" si="15"/>
        <v>12.99999999999998</v>
      </c>
      <c r="B97" s="1">
        <v>4.53E-2</v>
      </c>
      <c r="C97" s="1">
        <v>0.14530000000000001</v>
      </c>
      <c r="D97" s="1">
        <f t="shared" si="7"/>
        <v>4.5767653131452167E-2</v>
      </c>
      <c r="F97" s="1">
        <f t="shared" si="16"/>
        <v>12.99999999999998</v>
      </c>
      <c r="G97" s="1">
        <f t="shared" si="8"/>
        <v>4.5961940777125516</v>
      </c>
      <c r="H97" s="1">
        <v>4.53E-2</v>
      </c>
      <c r="I97" s="1">
        <v>4.5767653131452167E-2</v>
      </c>
      <c r="J97" s="1">
        <f t="shared" si="9"/>
        <v>0.59909167149788312</v>
      </c>
      <c r="K97" s="1">
        <v>0.59909167149788312</v>
      </c>
      <c r="P97" s="1">
        <v>4.5961940777125516</v>
      </c>
      <c r="Q97" s="1">
        <f t="shared" si="10"/>
        <v>9.534840088407405E-2</v>
      </c>
    </row>
    <row r="98" spans="1:17">
      <c r="A98" s="1">
        <f t="shared" si="15"/>
        <v>13.49999999999998</v>
      </c>
      <c r="B98" s="1">
        <v>4.19E-2</v>
      </c>
      <c r="C98" s="1">
        <v>0.14530000000000001</v>
      </c>
      <c r="D98" s="1">
        <f t="shared" si="7"/>
        <v>4.233255333792154E-2</v>
      </c>
      <c r="F98" s="1">
        <f t="shared" si="16"/>
        <v>13.49999999999998</v>
      </c>
      <c r="G98" s="1">
        <f t="shared" si="8"/>
        <v>4.7729707730091882</v>
      </c>
      <c r="H98" s="1">
        <v>4.19E-2</v>
      </c>
      <c r="I98" s="1">
        <v>4.233255333792154E-2</v>
      </c>
      <c r="J98" s="1">
        <f t="shared" si="9"/>
        <v>0.57550206802715131</v>
      </c>
      <c r="K98" s="1">
        <v>0.57550206802715131</v>
      </c>
      <c r="P98" s="1">
        <v>4.7729707730091882</v>
      </c>
      <c r="Q98" s="1">
        <f t="shared" si="10"/>
        <v>9.1593998886129346E-2</v>
      </c>
    </row>
    <row r="99" spans="1:17">
      <c r="A99" s="1">
        <f t="shared" si="15"/>
        <v>13.99999999999998</v>
      </c>
      <c r="B99" s="1">
        <v>3.8899999999999997E-2</v>
      </c>
      <c r="C99" s="1">
        <v>0.14530000000000001</v>
      </c>
      <c r="D99" s="1">
        <f t="shared" si="7"/>
        <v>3.9301582931865107E-2</v>
      </c>
      <c r="F99" s="1">
        <f t="shared" si="16"/>
        <v>13.99999999999998</v>
      </c>
      <c r="G99" s="1">
        <f t="shared" si="8"/>
        <v>4.9497474683058256</v>
      </c>
      <c r="H99" s="1">
        <v>3.8899999999999997E-2</v>
      </c>
      <c r="I99" s="1">
        <v>3.9301582931865107E-2</v>
      </c>
      <c r="J99" s="1">
        <f t="shared" si="9"/>
        <v>0.553951659094297</v>
      </c>
      <c r="K99" s="1">
        <v>0.553951659094297</v>
      </c>
      <c r="P99" s="1">
        <v>4.9497474683058256</v>
      </c>
      <c r="Q99" s="1">
        <f t="shared" si="10"/>
        <v>8.8164144778813847E-2</v>
      </c>
    </row>
    <row r="100" spans="1:17">
      <c r="A100" s="1">
        <f t="shared" si="15"/>
        <v>14.49999999999998</v>
      </c>
      <c r="B100" s="1">
        <v>3.6200000000000003E-2</v>
      </c>
      <c r="C100" s="1">
        <v>0.14530000000000001</v>
      </c>
      <c r="D100" s="1">
        <f t="shared" si="7"/>
        <v>3.6573709566414321E-2</v>
      </c>
      <c r="F100" s="1">
        <f t="shared" si="16"/>
        <v>14.49999999999998</v>
      </c>
      <c r="G100" s="1">
        <f t="shared" si="8"/>
        <v>5.1265241636024621</v>
      </c>
      <c r="H100" s="1">
        <v>3.6200000000000003E-2</v>
      </c>
      <c r="I100" s="1">
        <v>3.6573709566414321E-2</v>
      </c>
      <c r="J100" s="1">
        <f t="shared" si="9"/>
        <v>0.53389338406620013</v>
      </c>
      <c r="K100" s="1">
        <v>0.53389338406620013</v>
      </c>
      <c r="P100" s="1">
        <v>5.1265241636024621</v>
      </c>
      <c r="Q100" s="1">
        <f t="shared" si="10"/>
        <v>8.49717711581955E-2</v>
      </c>
    </row>
    <row r="101" spans="1:17">
      <c r="A101" s="1">
        <f t="shared" si="15"/>
        <v>14.99999999999998</v>
      </c>
      <c r="B101" s="1">
        <v>3.3799999999999997E-2</v>
      </c>
      <c r="C101" s="1">
        <v>0.14530000000000001</v>
      </c>
      <c r="D101" s="1">
        <f t="shared" si="7"/>
        <v>3.4148933241569167E-2</v>
      </c>
      <c r="F101" s="1">
        <f t="shared" si="16"/>
        <v>14.99999999999998</v>
      </c>
      <c r="G101" s="1">
        <f t="shared" si="8"/>
        <v>5.3033008588990995</v>
      </c>
      <c r="H101" s="1">
        <v>3.3799999999999997E-2</v>
      </c>
      <c r="I101" s="1">
        <v>3.4148933241569167E-2</v>
      </c>
      <c r="J101" s="1">
        <f t="shared" si="9"/>
        <v>0.51547455702201805</v>
      </c>
      <c r="K101" s="1">
        <v>0.51547455702201805</v>
      </c>
      <c r="P101" s="1">
        <v>5.3033008588990995</v>
      </c>
      <c r="Q101" s="1">
        <f t="shared" si="10"/>
        <v>8.2040323788159245E-2</v>
      </c>
    </row>
    <row r="102" spans="1:17">
      <c r="A102" s="1">
        <f t="shared" si="15"/>
        <v>15.49999999999998</v>
      </c>
      <c r="B102" s="1">
        <v>3.1600000000000003E-2</v>
      </c>
      <c r="C102" s="1">
        <v>0.14530000000000001</v>
      </c>
      <c r="D102" s="1">
        <f t="shared" si="7"/>
        <v>3.1926221610461117E-2</v>
      </c>
      <c r="F102" s="1">
        <f t="shared" si="16"/>
        <v>15.49999999999998</v>
      </c>
      <c r="G102" s="1">
        <f t="shared" si="8"/>
        <v>5.4800775541957361</v>
      </c>
      <c r="H102" s="1">
        <v>3.1600000000000003E-2</v>
      </c>
      <c r="I102" s="1">
        <v>3.1926221610461117E-2</v>
      </c>
      <c r="J102" s="1">
        <f t="shared" si="9"/>
        <v>0.49804828070228302</v>
      </c>
      <c r="K102" s="1">
        <v>0.49804828070228302</v>
      </c>
      <c r="P102" s="1">
        <v>5.4800775541957361</v>
      </c>
      <c r="Q102" s="1">
        <f t="shared" si="10"/>
        <v>7.9266845772188177E-2</v>
      </c>
    </row>
    <row r="103" spans="1:17">
      <c r="A103" s="1">
        <f t="shared" si="15"/>
        <v>15.99999999999998</v>
      </c>
      <c r="B103" s="1">
        <v>2.9700000000000001E-2</v>
      </c>
      <c r="C103" s="1">
        <v>0.14530000000000001</v>
      </c>
      <c r="D103" s="1">
        <f t="shared" si="7"/>
        <v>3.0006607019958706E-2</v>
      </c>
      <c r="F103" s="1">
        <f t="shared" si="16"/>
        <v>15.99999999999998</v>
      </c>
      <c r="G103" s="1">
        <f t="shared" si="8"/>
        <v>5.6568542494923726</v>
      </c>
      <c r="H103" s="1">
        <v>2.9700000000000001E-2</v>
      </c>
      <c r="I103" s="1">
        <v>3.0006607019958706E-2</v>
      </c>
      <c r="J103" s="1">
        <f t="shared" si="9"/>
        <v>0.48253605139266265</v>
      </c>
      <c r="K103" s="1">
        <v>0.48253605139266265</v>
      </c>
      <c r="P103" s="1">
        <v>5.6568542494923726</v>
      </c>
      <c r="Q103" s="1">
        <f t="shared" si="10"/>
        <v>7.6797997799187112E-2</v>
      </c>
    </row>
    <row r="104" spans="1:17">
      <c r="A104" s="1">
        <f>A103+0.5</f>
        <v>16.499999999999979</v>
      </c>
      <c r="B104" s="1">
        <v>2.7900000000000001E-2</v>
      </c>
      <c r="C104" s="1">
        <v>0.14530000000000001</v>
      </c>
      <c r="D104" s="1">
        <f t="shared" si="7"/>
        <v>2.8188024776324847E-2</v>
      </c>
      <c r="F104" s="1">
        <f>F103+0.5</f>
        <v>16.499999999999979</v>
      </c>
      <c r="G104" s="1">
        <f t="shared" si="8"/>
        <v>5.8336309447890091</v>
      </c>
      <c r="H104" s="1">
        <v>2.7900000000000001E-2</v>
      </c>
      <c r="I104" s="1">
        <v>2.8188024776324847E-2</v>
      </c>
      <c r="J104" s="1">
        <f t="shared" si="9"/>
        <v>0.46740413016716231</v>
      </c>
      <c r="K104" s="1">
        <v>0.46740413016716231</v>
      </c>
      <c r="P104" s="1">
        <v>5.8336309447890091</v>
      </c>
      <c r="Q104" s="1">
        <f t="shared" si="10"/>
        <v>7.4389677737671564E-2</v>
      </c>
    </row>
    <row r="105" spans="1:17">
      <c r="A105" s="1">
        <f t="shared" si="15"/>
        <v>16.999999999999979</v>
      </c>
      <c r="B105" s="1">
        <v>2.6200000000000001E-2</v>
      </c>
      <c r="C105" s="1">
        <v>0.14530000000000001</v>
      </c>
      <c r="D105" s="1">
        <f t="shared" si="7"/>
        <v>2.6470474879559534E-2</v>
      </c>
      <c r="F105" s="1">
        <f t="shared" si="16"/>
        <v>16.999999999999979</v>
      </c>
      <c r="G105" s="1">
        <f t="shared" si="8"/>
        <v>6.0104076400856457</v>
      </c>
      <c r="H105" s="1">
        <v>2.6200000000000001E-2</v>
      </c>
      <c r="I105" s="1">
        <v>2.6470474879559534E-2</v>
      </c>
      <c r="J105" s="1">
        <f t="shared" si="9"/>
        <v>0.45268399184919295</v>
      </c>
      <c r="K105" s="1">
        <v>0.45268399184919295</v>
      </c>
      <c r="P105" s="1">
        <v>6.0104076400856457</v>
      </c>
      <c r="Q105" s="1">
        <f t="shared" si="10"/>
        <v>7.2046894961370317E-2</v>
      </c>
    </row>
    <row r="106" spans="1:17">
      <c r="A106" s="1">
        <f t="shared" si="15"/>
        <v>17.499999999999979</v>
      </c>
      <c r="B106" s="1">
        <v>2.4799999999999999E-2</v>
      </c>
      <c r="C106" s="1">
        <v>0.14530000000000001</v>
      </c>
      <c r="D106" s="1">
        <f t="shared" si="7"/>
        <v>2.5056022023399863E-2</v>
      </c>
      <c r="F106" s="1">
        <f t="shared" si="16"/>
        <v>17.499999999999979</v>
      </c>
      <c r="G106" s="1">
        <f t="shared" si="8"/>
        <v>6.1871843353822831</v>
      </c>
      <c r="H106" s="1">
        <v>2.4799999999999999E-2</v>
      </c>
      <c r="I106" s="1">
        <v>2.5056022023399863E-2</v>
      </c>
      <c r="J106" s="1">
        <f t="shared" si="9"/>
        <v>0.44021845576424634</v>
      </c>
      <c r="K106" s="1">
        <v>0.44021845576424634</v>
      </c>
      <c r="P106" s="1">
        <v>6.1871843353822831</v>
      </c>
      <c r="Q106" s="1">
        <f t="shared" si="10"/>
        <v>7.0062943275160675E-2</v>
      </c>
    </row>
    <row r="107" spans="1:17">
      <c r="A107" s="1">
        <f t="shared" si="15"/>
        <v>17.999999999999979</v>
      </c>
      <c r="B107" s="1">
        <v>2.3300000000000001E-2</v>
      </c>
      <c r="C107" s="1">
        <v>0.14530000000000001</v>
      </c>
      <c r="D107" s="1">
        <f t="shared" si="7"/>
        <v>2.3540536820371646E-2</v>
      </c>
      <c r="F107" s="1">
        <f t="shared" si="16"/>
        <v>17.999999999999979</v>
      </c>
      <c r="G107" s="1">
        <f t="shared" si="8"/>
        <v>6.3639610306789196</v>
      </c>
      <c r="H107" s="1">
        <v>2.3300000000000001E-2</v>
      </c>
      <c r="I107" s="1">
        <v>2.3540536820371646E-2</v>
      </c>
      <c r="J107" s="1">
        <f t="shared" si="9"/>
        <v>0.42648553718228155</v>
      </c>
      <c r="K107" s="1">
        <v>0.42648553718228155</v>
      </c>
      <c r="P107" s="1">
        <v>6.3639610306789196</v>
      </c>
      <c r="Q107" s="1">
        <f t="shared" si="10"/>
        <v>6.7877281399762429E-2</v>
      </c>
    </row>
    <row r="108" spans="1:17">
      <c r="A108" s="1">
        <f>A107+0.5</f>
        <v>18.499999999999979</v>
      </c>
      <c r="B108" s="1">
        <v>2.2200000000000001E-2</v>
      </c>
      <c r="C108" s="1">
        <v>0.14530000000000001</v>
      </c>
      <c r="D108" s="1">
        <f t="shared" si="7"/>
        <v>2.2429181004817618E-2</v>
      </c>
      <c r="F108" s="1">
        <f>F107+0.5</f>
        <v>18.499999999999979</v>
      </c>
      <c r="G108" s="1">
        <f t="shared" si="8"/>
        <v>6.540737725975557</v>
      </c>
      <c r="H108" s="1">
        <v>2.2200000000000001E-2</v>
      </c>
      <c r="I108" s="1">
        <v>2.2429181004817618E-2</v>
      </c>
      <c r="J108" s="1">
        <f t="shared" si="9"/>
        <v>0.41614501344346877</v>
      </c>
      <c r="K108" s="1">
        <v>0.41614501344346877</v>
      </c>
      <c r="P108" s="1">
        <v>6.540737725975557</v>
      </c>
      <c r="Q108" s="1">
        <f t="shared" si="10"/>
        <v>6.6231535932571292E-2</v>
      </c>
    </row>
    <row r="109" spans="1:17">
      <c r="A109" s="1">
        <f t="shared" si="15"/>
        <v>18.999999999999979</v>
      </c>
      <c r="B109" s="1">
        <v>2.1000000000000001E-2</v>
      </c>
      <c r="C109" s="1">
        <v>0.14530000000000001</v>
      </c>
      <c r="D109" s="1">
        <f t="shared" si="7"/>
        <v>2.1216792842395048E-2</v>
      </c>
      <c r="F109" s="1">
        <f t="shared" si="16"/>
        <v>18.999999999999979</v>
      </c>
      <c r="G109" s="1">
        <f t="shared" si="8"/>
        <v>6.7175144212721936</v>
      </c>
      <c r="H109" s="1">
        <v>2.1000000000000001E-2</v>
      </c>
      <c r="I109" s="1">
        <v>2.1216792842395048E-2</v>
      </c>
      <c r="J109" s="1">
        <f t="shared" si="9"/>
        <v>0.40458113621789815</v>
      </c>
      <c r="K109" s="1">
        <v>0.40458113621789815</v>
      </c>
      <c r="P109" s="1">
        <v>6.7175144212721936</v>
      </c>
      <c r="Q109" s="1">
        <f t="shared" si="10"/>
        <v>6.4391087710813935E-2</v>
      </c>
    </row>
    <row r="110" spans="1:17">
      <c r="A110" s="1">
        <f>A109+0.5</f>
        <v>19.499999999999979</v>
      </c>
      <c r="B110" s="1">
        <v>0.02</v>
      </c>
      <c r="C110" s="1">
        <v>0.14530000000000001</v>
      </c>
      <c r="D110" s="1">
        <f t="shared" si="7"/>
        <v>2.0206469373709568E-2</v>
      </c>
      <c r="F110" s="1">
        <f>F109+0.5</f>
        <v>19.499999999999979</v>
      </c>
      <c r="G110" s="1">
        <f t="shared" si="8"/>
        <v>6.8942911165688301</v>
      </c>
      <c r="H110" s="1">
        <v>0.02</v>
      </c>
      <c r="I110" s="1">
        <v>2.0206469373709568E-2</v>
      </c>
      <c r="J110" s="1">
        <f t="shared" si="9"/>
        <v>0.39470051224986125</v>
      </c>
      <c r="K110" s="1">
        <v>0.39470051224986125</v>
      </c>
      <c r="P110" s="1">
        <v>6.8942911165688301</v>
      </c>
      <c r="Q110" s="1">
        <f t="shared" si="10"/>
        <v>6.281853756546861E-2</v>
      </c>
    </row>
    <row r="111" spans="1:17">
      <c r="A111" s="1">
        <f t="shared" si="15"/>
        <v>19.999999999999979</v>
      </c>
      <c r="B111" s="1">
        <v>1.89E-2</v>
      </c>
      <c r="C111" s="1">
        <v>0.14530000000000001</v>
      </c>
      <c r="D111" s="1">
        <f t="shared" si="7"/>
        <v>1.909511355815554E-2</v>
      </c>
      <c r="F111" s="1">
        <f t="shared" si="16"/>
        <v>19.999999999999979</v>
      </c>
      <c r="G111" s="1">
        <f t="shared" si="8"/>
        <v>7.0710678118654675</v>
      </c>
      <c r="H111" s="1">
        <v>1.89E-2</v>
      </c>
      <c r="I111" s="1">
        <v>1.909511355815554E-2</v>
      </c>
      <c r="J111" s="1">
        <f t="shared" si="9"/>
        <v>0.38355373549386584</v>
      </c>
      <c r="K111" s="1">
        <v>0.38355373549386584</v>
      </c>
      <c r="P111" s="1">
        <v>7.0710678118654675</v>
      </c>
      <c r="Q111" s="1">
        <f t="shared" si="10"/>
        <v>6.10444729452101E-2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3"/>
  <sheetViews>
    <sheetView workbookViewId="0">
      <selection activeCell="J2" sqref="J2"/>
    </sheetView>
  </sheetViews>
  <sheetFormatPr defaultColWidth="8.81640625" defaultRowHeight="10.5"/>
  <cols>
    <col min="1" max="1" width="3.81640625" style="1" bestFit="1" customWidth="1"/>
    <col min="2" max="3" width="5.453125" style="1" bestFit="1" customWidth="1"/>
    <col min="4" max="4" width="9.26953125" style="1" bestFit="1" customWidth="1"/>
    <col min="5" max="5" width="8.81640625" style="9"/>
    <col min="6" max="6" width="3.81640625" style="1" bestFit="1" customWidth="1"/>
    <col min="7" max="7" width="9.26953125" style="1" bestFit="1" customWidth="1"/>
    <col min="8" max="8" width="7.26953125" style="1" bestFit="1" customWidth="1"/>
    <col min="9" max="10" width="9.26953125" style="1" bestFit="1" customWidth="1"/>
    <col min="11" max="11" width="11.453125" style="1" bestFit="1" customWidth="1"/>
    <col min="12" max="15" width="8.81640625" style="1"/>
    <col min="16" max="16" width="9.26953125" style="1" bestFit="1" customWidth="1"/>
    <col min="17" max="16384" width="8.81640625" style="1"/>
  </cols>
  <sheetData>
    <row r="1" spans="1:19">
      <c r="A1" s="1" t="s">
        <v>0</v>
      </c>
      <c r="B1" s="1" t="s">
        <v>1</v>
      </c>
      <c r="C1" s="1" t="s">
        <v>2</v>
      </c>
      <c r="D1" s="3" t="s">
        <v>3</v>
      </c>
      <c r="F1" s="1" t="s">
        <v>4</v>
      </c>
      <c r="G1" s="4" t="s">
        <v>5</v>
      </c>
      <c r="H1" s="5" t="s">
        <v>6</v>
      </c>
      <c r="I1" s="3" t="s">
        <v>3</v>
      </c>
      <c r="J1" s="6" t="s">
        <v>7</v>
      </c>
      <c r="K1" s="7" t="s">
        <v>8</v>
      </c>
      <c r="L1" s="7" t="s">
        <v>15</v>
      </c>
      <c r="P1" s="4" t="s">
        <v>5</v>
      </c>
      <c r="Q1" s="7" t="s">
        <v>9</v>
      </c>
    </row>
    <row r="2" spans="1:19">
      <c r="A2" s="1">
        <v>0.1</v>
      </c>
      <c r="B2" s="1">
        <v>87.17</v>
      </c>
      <c r="C2" s="1">
        <v>11.83</v>
      </c>
      <c r="D2" s="10">
        <v>92.67</v>
      </c>
      <c r="E2" s="9">
        <v>11.76</v>
      </c>
      <c r="F2" s="1">
        <f>A2</f>
        <v>0.1</v>
      </c>
      <c r="G2" s="1">
        <f t="shared" ref="G2:G33" si="0">F2/2/SQRT(2)</f>
        <v>3.5355339059327376E-2</v>
      </c>
      <c r="H2" s="1">
        <f>B2</f>
        <v>87.17</v>
      </c>
      <c r="I2" s="1">
        <f>H2*MAX(C$2:C$113)/C2</f>
        <v>87.17</v>
      </c>
      <c r="J2" s="1">
        <f>ACOS(1-2*(I2/MAX(I$3:I$111)))</f>
        <v>2.6237012789121743</v>
      </c>
      <c r="K2" s="1">
        <f>2*J$49-J2</f>
        <v>3.6594840282674119</v>
      </c>
      <c r="L2" s="1">
        <f>2*K$30-K2</f>
        <v>8.7167897268143477</v>
      </c>
      <c r="P2" s="1">
        <f>F2/2/SQRT(2)</f>
        <v>3.5355339059327376E-2</v>
      </c>
      <c r="Q2" s="8">
        <f>L2/2/PI()</f>
        <v>1.3873201729151554</v>
      </c>
      <c r="R2" s="8" t="s">
        <v>10</v>
      </c>
      <c r="S2" s="8"/>
    </row>
    <row r="3" spans="1:19">
      <c r="A3" s="1">
        <f>A2+0.1</f>
        <v>0.2</v>
      </c>
      <c r="B3" s="1">
        <v>87.43</v>
      </c>
      <c r="C3" s="1">
        <v>11.83</v>
      </c>
      <c r="D3" s="10">
        <v>92.67</v>
      </c>
      <c r="F3" s="1">
        <f t="shared" ref="F3:F66" si="1">A3</f>
        <v>0.2</v>
      </c>
      <c r="G3" s="1">
        <f t="shared" si="0"/>
        <v>7.0710678118654752E-2</v>
      </c>
      <c r="H3" s="1">
        <f t="shared" ref="H3:H66" si="2">B3</f>
        <v>87.43</v>
      </c>
      <c r="I3" s="1">
        <f t="shared" ref="I3:I66" si="3">H3*MAX(C$2:C$113)/C3</f>
        <v>87.43</v>
      </c>
      <c r="J3" s="1">
        <f t="shared" ref="J3:J66" si="4">ACOS(1-2*(I3/MAX(I$3:I$111)))</f>
        <v>2.6350749804390619</v>
      </c>
      <c r="K3" s="1">
        <f t="shared" ref="K3:K49" si="5">2*J$49-J3</f>
        <v>3.6481103267405244</v>
      </c>
      <c r="L3" s="1">
        <f t="shared" ref="L3:L30" si="6">2*K$30-K3</f>
        <v>8.7281634283412366</v>
      </c>
      <c r="P3" s="1">
        <f t="shared" ref="P3:P66" si="7">F3/2/SQRT(2)</f>
        <v>7.0710678118654752E-2</v>
      </c>
      <c r="Q3" s="8">
        <f t="shared" ref="Q3:Q66" si="8">L3/2/PI()</f>
        <v>1.3891303537344117</v>
      </c>
    </row>
    <row r="4" spans="1:19">
      <c r="A4" s="1">
        <f t="shared" ref="A4:A66" si="9">A3+0.1</f>
        <v>0.30000000000000004</v>
      </c>
      <c r="B4" s="1">
        <v>87.46</v>
      </c>
      <c r="C4" s="1">
        <v>11.83</v>
      </c>
      <c r="D4" s="10">
        <v>92.67</v>
      </c>
      <c r="F4" s="1">
        <f t="shared" si="1"/>
        <v>0.30000000000000004</v>
      </c>
      <c r="G4" s="1">
        <f t="shared" si="0"/>
        <v>0.10606601717798214</v>
      </c>
      <c r="H4" s="1">
        <f t="shared" si="2"/>
        <v>87.46</v>
      </c>
      <c r="I4" s="1">
        <f t="shared" si="3"/>
        <v>87.46</v>
      </c>
      <c r="J4" s="1">
        <f t="shared" si="4"/>
        <v>2.6364023424884282</v>
      </c>
      <c r="K4" s="1">
        <f t="shared" si="5"/>
        <v>3.646782964691158</v>
      </c>
      <c r="L4" s="1">
        <f t="shared" si="6"/>
        <v>8.7294907903906029</v>
      </c>
      <c r="P4" s="1">
        <f t="shared" si="7"/>
        <v>0.10606601717798214</v>
      </c>
      <c r="Q4" s="8">
        <f t="shared" si="8"/>
        <v>1.3893416099658409</v>
      </c>
    </row>
    <row r="5" spans="1:19">
      <c r="A5" s="1">
        <f t="shared" si="9"/>
        <v>0.4</v>
      </c>
      <c r="B5" s="1">
        <v>87.55</v>
      </c>
      <c r="C5" s="1">
        <v>11.83</v>
      </c>
      <c r="D5" s="10">
        <v>92.67</v>
      </c>
      <c r="F5" s="1">
        <f t="shared" si="1"/>
        <v>0.4</v>
      </c>
      <c r="G5" s="1">
        <f t="shared" si="0"/>
        <v>0.1414213562373095</v>
      </c>
      <c r="H5" s="1">
        <f t="shared" si="2"/>
        <v>87.55</v>
      </c>
      <c r="I5" s="1">
        <f t="shared" si="3"/>
        <v>87.55</v>
      </c>
      <c r="J5" s="1">
        <f t="shared" si="4"/>
        <v>2.6404036913904996</v>
      </c>
      <c r="K5" s="1">
        <f t="shared" si="5"/>
        <v>3.6427816157890867</v>
      </c>
      <c r="L5" s="1">
        <f t="shared" si="6"/>
        <v>8.7334921392926734</v>
      </c>
      <c r="P5" s="1">
        <f t="shared" si="7"/>
        <v>0.1414213562373095</v>
      </c>
      <c r="Q5" s="8">
        <f t="shared" si="8"/>
        <v>1.3899784444226408</v>
      </c>
    </row>
    <row r="6" spans="1:19">
      <c r="A6" s="1">
        <f t="shared" si="9"/>
        <v>0.5</v>
      </c>
      <c r="B6" s="1">
        <v>87.64</v>
      </c>
      <c r="C6" s="1">
        <v>11.83</v>
      </c>
      <c r="D6" s="10">
        <v>92.67</v>
      </c>
      <c r="F6" s="1">
        <f t="shared" si="1"/>
        <v>0.5</v>
      </c>
      <c r="G6" s="1">
        <f t="shared" si="0"/>
        <v>0.17677669529663687</v>
      </c>
      <c r="H6" s="1">
        <f t="shared" si="2"/>
        <v>87.64</v>
      </c>
      <c r="I6" s="1">
        <f t="shared" si="3"/>
        <v>87.640000000000015</v>
      </c>
      <c r="J6" s="1">
        <f t="shared" si="4"/>
        <v>2.6444344812304865</v>
      </c>
      <c r="K6" s="1">
        <f t="shared" si="5"/>
        <v>3.6387508259490997</v>
      </c>
      <c r="L6" s="1">
        <f t="shared" si="6"/>
        <v>8.7375229291326608</v>
      </c>
      <c r="P6" s="1">
        <f t="shared" si="7"/>
        <v>0.17677669529663687</v>
      </c>
      <c r="Q6" s="8">
        <f t="shared" si="8"/>
        <v>1.3906199645502393</v>
      </c>
    </row>
    <row r="7" spans="1:19">
      <c r="A7" s="1">
        <f t="shared" si="9"/>
        <v>0.6</v>
      </c>
      <c r="B7" s="1">
        <v>87.95</v>
      </c>
      <c r="C7" s="1">
        <v>11.83</v>
      </c>
      <c r="D7" s="10">
        <v>92.67</v>
      </c>
      <c r="F7" s="1">
        <f t="shared" si="1"/>
        <v>0.6</v>
      </c>
      <c r="G7" s="1">
        <f t="shared" si="0"/>
        <v>0.21213203435596423</v>
      </c>
      <c r="H7" s="1">
        <f t="shared" si="2"/>
        <v>87.95</v>
      </c>
      <c r="I7" s="1">
        <f t="shared" si="3"/>
        <v>87.95</v>
      </c>
      <c r="J7" s="1">
        <f t="shared" si="4"/>
        <v>2.6585540116597919</v>
      </c>
      <c r="K7" s="1">
        <f t="shared" si="5"/>
        <v>3.6246312955197943</v>
      </c>
      <c r="L7" s="1">
        <f t="shared" si="6"/>
        <v>8.7516424595619657</v>
      </c>
      <c r="P7" s="1">
        <f t="shared" si="7"/>
        <v>0.21213203435596423</v>
      </c>
      <c r="Q7" s="8">
        <f t="shared" si="8"/>
        <v>1.3928671576121996</v>
      </c>
    </row>
    <row r="8" spans="1:19">
      <c r="A8" s="1">
        <f t="shared" si="9"/>
        <v>0.7</v>
      </c>
      <c r="B8" s="1">
        <v>88.75</v>
      </c>
      <c r="C8" s="1">
        <v>11.82</v>
      </c>
      <c r="D8" s="10">
        <v>92.67</v>
      </c>
      <c r="F8" s="1">
        <f t="shared" si="1"/>
        <v>0.7</v>
      </c>
      <c r="G8" s="1">
        <f t="shared" si="0"/>
        <v>0.24748737341529159</v>
      </c>
      <c r="H8" s="1">
        <f t="shared" si="2"/>
        <v>88.75</v>
      </c>
      <c r="I8" s="1">
        <f t="shared" si="3"/>
        <v>88.825084602368861</v>
      </c>
      <c r="J8" s="1">
        <f t="shared" si="4"/>
        <v>2.7006479237384933</v>
      </c>
      <c r="K8" s="1">
        <f t="shared" si="5"/>
        <v>3.582537383441093</v>
      </c>
      <c r="L8" s="1">
        <f t="shared" si="6"/>
        <v>8.7937363716406676</v>
      </c>
      <c r="P8" s="1">
        <f t="shared" si="7"/>
        <v>0.24748737341529159</v>
      </c>
      <c r="Q8" s="8">
        <f t="shared" si="8"/>
        <v>1.3995666117936008</v>
      </c>
    </row>
    <row r="9" spans="1:19">
      <c r="A9" s="1">
        <f t="shared" si="9"/>
        <v>0.79999999999999993</v>
      </c>
      <c r="B9" s="1">
        <v>89.76</v>
      </c>
      <c r="C9" s="1">
        <v>11.81</v>
      </c>
      <c r="D9" s="10">
        <v>92.69</v>
      </c>
      <c r="F9" s="1">
        <f t="shared" si="1"/>
        <v>0.79999999999999993</v>
      </c>
      <c r="G9" s="1">
        <f t="shared" si="0"/>
        <v>0.28284271247461895</v>
      </c>
      <c r="H9" s="1">
        <f t="shared" si="2"/>
        <v>89.76</v>
      </c>
      <c r="I9" s="1">
        <f t="shared" si="3"/>
        <v>89.91200677392041</v>
      </c>
      <c r="J9" s="1">
        <f t="shared" si="4"/>
        <v>2.7588711258689282</v>
      </c>
      <c r="K9" s="1">
        <f t="shared" si="5"/>
        <v>3.524314181310658</v>
      </c>
      <c r="L9" s="1">
        <f t="shared" si="6"/>
        <v>8.8519595737711025</v>
      </c>
      <c r="P9" s="1">
        <f t="shared" si="7"/>
        <v>0.28284271247461895</v>
      </c>
      <c r="Q9" s="8">
        <f t="shared" si="8"/>
        <v>1.4088331222152979</v>
      </c>
    </row>
    <row r="10" spans="1:19">
      <c r="A10" s="1">
        <f t="shared" si="9"/>
        <v>0.89999999999999991</v>
      </c>
      <c r="B10" s="1">
        <v>90.1</v>
      </c>
      <c r="C10" s="1">
        <v>11.81</v>
      </c>
      <c r="D10" s="10">
        <v>92.7</v>
      </c>
      <c r="F10" s="1">
        <f t="shared" si="1"/>
        <v>0.89999999999999991</v>
      </c>
      <c r="G10" s="1">
        <f t="shared" si="0"/>
        <v>0.31819805153394631</v>
      </c>
      <c r="H10" s="1">
        <f t="shared" si="2"/>
        <v>90.1</v>
      </c>
      <c r="I10" s="1">
        <f t="shared" si="3"/>
        <v>90.252582557154952</v>
      </c>
      <c r="J10" s="1">
        <f t="shared" si="4"/>
        <v>2.7789241242840492</v>
      </c>
      <c r="K10" s="1">
        <f t="shared" si="5"/>
        <v>3.504261182895537</v>
      </c>
      <c r="L10" s="1">
        <f t="shared" si="6"/>
        <v>8.8720125721862235</v>
      </c>
      <c r="P10" s="1">
        <f t="shared" si="7"/>
        <v>0.31819805153394631</v>
      </c>
      <c r="Q10" s="8">
        <f t="shared" si="8"/>
        <v>1.4120246560368783</v>
      </c>
    </row>
    <row r="11" spans="1:19">
      <c r="A11" s="1">
        <f t="shared" si="9"/>
        <v>0.99999999999999989</v>
      </c>
      <c r="B11" s="1">
        <v>90.15</v>
      </c>
      <c r="C11" s="1">
        <v>11.81</v>
      </c>
      <c r="D11" s="10">
        <v>92.73</v>
      </c>
      <c r="F11" s="1">
        <f t="shared" si="1"/>
        <v>0.99999999999999989</v>
      </c>
      <c r="G11" s="1">
        <f t="shared" si="0"/>
        <v>0.35355339059327368</v>
      </c>
      <c r="H11" s="1">
        <f t="shared" si="2"/>
        <v>90.15</v>
      </c>
      <c r="I11" s="1">
        <f t="shared" si="3"/>
        <v>90.302667231160029</v>
      </c>
      <c r="J11" s="1">
        <f t="shared" si="4"/>
        <v>2.7819629899096716</v>
      </c>
      <c r="K11" s="1">
        <f t="shared" si="5"/>
        <v>3.5012223172699146</v>
      </c>
      <c r="L11" s="1">
        <f t="shared" si="6"/>
        <v>8.8750514378118446</v>
      </c>
      <c r="P11" s="1">
        <f t="shared" si="7"/>
        <v>0.35355339059327368</v>
      </c>
      <c r="Q11" s="8">
        <f t="shared" si="8"/>
        <v>1.4125083065225881</v>
      </c>
    </row>
    <row r="12" spans="1:19">
      <c r="A12" s="1">
        <f t="shared" si="9"/>
        <v>1.0999999999999999</v>
      </c>
      <c r="B12" s="1">
        <v>90.5</v>
      </c>
      <c r="C12" s="1">
        <v>11.8</v>
      </c>
      <c r="D12" s="10">
        <v>92.76</v>
      </c>
      <c r="F12" s="1">
        <f t="shared" si="1"/>
        <v>1.0999999999999999</v>
      </c>
      <c r="G12" s="1">
        <f t="shared" si="0"/>
        <v>0.38890872965260104</v>
      </c>
      <c r="H12" s="1">
        <f t="shared" si="2"/>
        <v>90.5</v>
      </c>
      <c r="I12" s="1">
        <f t="shared" si="3"/>
        <v>90.73008474576271</v>
      </c>
      <c r="J12" s="1">
        <f t="shared" si="4"/>
        <v>2.8089746531529203</v>
      </c>
      <c r="K12" s="1">
        <f t="shared" si="5"/>
        <v>3.474210654026666</v>
      </c>
      <c r="L12" s="1">
        <f t="shared" si="6"/>
        <v>8.902063101055095</v>
      </c>
      <c r="P12" s="1">
        <f t="shared" si="7"/>
        <v>0.38890872965260104</v>
      </c>
      <c r="Q12" s="8">
        <f t="shared" si="8"/>
        <v>1.416807346248885</v>
      </c>
    </row>
    <row r="13" spans="1:19">
      <c r="A13" s="1">
        <f t="shared" si="9"/>
        <v>1.2</v>
      </c>
      <c r="B13" s="1">
        <v>90.6</v>
      </c>
      <c r="C13" s="1">
        <v>11.8</v>
      </c>
      <c r="D13" s="10">
        <v>92.81</v>
      </c>
      <c r="F13" s="1">
        <f t="shared" si="1"/>
        <v>1.2</v>
      </c>
      <c r="G13" s="1">
        <f t="shared" si="0"/>
        <v>0.42426406871192845</v>
      </c>
      <c r="H13" s="1">
        <f t="shared" si="2"/>
        <v>90.6</v>
      </c>
      <c r="I13" s="1">
        <f t="shared" si="3"/>
        <v>90.830338983050837</v>
      </c>
      <c r="J13" s="1">
        <f t="shared" si="4"/>
        <v>2.8156213688538392</v>
      </c>
      <c r="K13" s="1">
        <f t="shared" si="5"/>
        <v>3.4675639383257471</v>
      </c>
      <c r="L13" s="1">
        <f t="shared" si="6"/>
        <v>8.9087098167560121</v>
      </c>
      <c r="P13" s="1">
        <f t="shared" si="7"/>
        <v>0.42426406871192845</v>
      </c>
      <c r="Q13" s="8">
        <f t="shared" si="8"/>
        <v>1.4178652039080124</v>
      </c>
    </row>
    <row r="14" spans="1:19">
      <c r="A14" s="1">
        <f t="shared" si="9"/>
        <v>1.3</v>
      </c>
      <c r="B14" s="1">
        <v>90.81</v>
      </c>
      <c r="C14" s="1">
        <v>11.8</v>
      </c>
      <c r="D14" s="10">
        <v>92.88</v>
      </c>
      <c r="F14" s="1">
        <f t="shared" si="1"/>
        <v>1.3</v>
      </c>
      <c r="G14" s="1">
        <f t="shared" si="0"/>
        <v>0.45961940777125587</v>
      </c>
      <c r="H14" s="1">
        <f t="shared" si="2"/>
        <v>90.81</v>
      </c>
      <c r="I14" s="1">
        <f t="shared" si="3"/>
        <v>91.040872881355938</v>
      </c>
      <c r="J14" s="1">
        <f t="shared" si="4"/>
        <v>2.8300239182998346</v>
      </c>
      <c r="K14" s="1">
        <f t="shared" si="5"/>
        <v>3.4531613888797517</v>
      </c>
      <c r="L14" s="1">
        <f t="shared" si="6"/>
        <v>8.9231123662020089</v>
      </c>
      <c r="P14" s="1">
        <f t="shared" si="7"/>
        <v>0.45961940777125587</v>
      </c>
      <c r="Q14" s="8">
        <f t="shared" si="8"/>
        <v>1.4201574408454682</v>
      </c>
    </row>
    <row r="15" spans="1:19">
      <c r="A15" s="1">
        <f t="shared" si="9"/>
        <v>1.4000000000000001</v>
      </c>
      <c r="B15" s="1">
        <v>91</v>
      </c>
      <c r="C15" s="1">
        <v>11.8</v>
      </c>
      <c r="D15" s="10">
        <v>92.95</v>
      </c>
      <c r="F15" s="1">
        <f t="shared" si="1"/>
        <v>1.4000000000000001</v>
      </c>
      <c r="G15" s="1">
        <f t="shared" si="0"/>
        <v>0.49497474683058329</v>
      </c>
      <c r="H15" s="1">
        <f t="shared" si="2"/>
        <v>91</v>
      </c>
      <c r="I15" s="1">
        <f t="shared" si="3"/>
        <v>91.231355932203385</v>
      </c>
      <c r="J15" s="1">
        <f t="shared" si="4"/>
        <v>2.8436336954356283</v>
      </c>
      <c r="K15" s="1">
        <f t="shared" si="5"/>
        <v>3.439551611743958</v>
      </c>
      <c r="L15" s="1">
        <f t="shared" si="6"/>
        <v>8.9367221433378017</v>
      </c>
      <c r="P15" s="1">
        <f t="shared" si="7"/>
        <v>0.49497474683058329</v>
      </c>
      <c r="Q15" s="8">
        <f t="shared" si="8"/>
        <v>1.4223235041510087</v>
      </c>
    </row>
    <row r="16" spans="1:19">
      <c r="A16" s="1">
        <f t="shared" si="9"/>
        <v>1.5000000000000002</v>
      </c>
      <c r="B16" s="1">
        <v>91.75</v>
      </c>
      <c r="C16" s="1">
        <v>11.8</v>
      </c>
      <c r="D16" s="10">
        <v>92.97</v>
      </c>
      <c r="F16" s="1">
        <f t="shared" si="1"/>
        <v>1.5000000000000002</v>
      </c>
      <c r="G16" s="1">
        <f t="shared" si="0"/>
        <v>0.53033008588991071</v>
      </c>
      <c r="H16" s="1">
        <f t="shared" si="2"/>
        <v>91.75</v>
      </c>
      <c r="I16" s="1">
        <f t="shared" si="3"/>
        <v>91.983262711864398</v>
      </c>
      <c r="J16" s="1">
        <f t="shared" si="4"/>
        <v>2.9046408835835642</v>
      </c>
      <c r="K16" s="1">
        <f t="shared" si="5"/>
        <v>3.378544423596022</v>
      </c>
      <c r="L16" s="1">
        <f t="shared" si="6"/>
        <v>8.9977293314857381</v>
      </c>
      <c r="P16" s="1">
        <f t="shared" si="7"/>
        <v>0.53033008588991071</v>
      </c>
      <c r="Q16" s="8">
        <f t="shared" si="8"/>
        <v>1.4320330997088901</v>
      </c>
    </row>
    <row r="17" spans="1:17">
      <c r="A17" s="1">
        <f t="shared" si="9"/>
        <v>1.6000000000000003</v>
      </c>
      <c r="B17" s="1">
        <v>91.52</v>
      </c>
      <c r="C17" s="1">
        <v>11.8</v>
      </c>
      <c r="D17" s="10">
        <v>92.64</v>
      </c>
      <c r="F17" s="1">
        <f t="shared" si="1"/>
        <v>1.6000000000000003</v>
      </c>
      <c r="G17" s="1">
        <f t="shared" si="0"/>
        <v>0.56568542494923812</v>
      </c>
      <c r="H17" s="1">
        <f t="shared" si="2"/>
        <v>91.52</v>
      </c>
      <c r="I17" s="1">
        <f t="shared" si="3"/>
        <v>91.752677966101686</v>
      </c>
      <c r="J17" s="1">
        <f t="shared" si="4"/>
        <v>2.8844258356176078</v>
      </c>
      <c r="K17" s="1">
        <f t="shared" si="5"/>
        <v>3.3987594715619784</v>
      </c>
      <c r="L17" s="1">
        <f t="shared" si="6"/>
        <v>8.9775142835197812</v>
      </c>
      <c r="P17" s="1">
        <f t="shared" si="7"/>
        <v>0.56568542494923812</v>
      </c>
      <c r="Q17" s="8">
        <f t="shared" si="8"/>
        <v>1.4288157749002683</v>
      </c>
    </row>
    <row r="18" spans="1:17">
      <c r="A18" s="1">
        <f t="shared" si="9"/>
        <v>1.7000000000000004</v>
      </c>
      <c r="B18" s="1">
        <v>90.2</v>
      </c>
      <c r="C18" s="1">
        <v>11.8</v>
      </c>
      <c r="D18" s="10">
        <v>91.34</v>
      </c>
      <c r="F18" s="1">
        <f t="shared" si="1"/>
        <v>1.7000000000000004</v>
      </c>
      <c r="G18" s="1">
        <f t="shared" si="0"/>
        <v>0.60104076400856554</v>
      </c>
      <c r="H18" s="1">
        <f t="shared" si="2"/>
        <v>90.2</v>
      </c>
      <c r="I18" s="1">
        <f t="shared" si="3"/>
        <v>90.429322033898302</v>
      </c>
      <c r="J18" s="1">
        <f t="shared" si="4"/>
        <v>2.7897596770199966</v>
      </c>
      <c r="K18" s="1">
        <f t="shared" si="5"/>
        <v>3.4934256301595896</v>
      </c>
      <c r="L18" s="1">
        <f t="shared" si="6"/>
        <v>8.8828481249221696</v>
      </c>
      <c r="P18" s="1">
        <f t="shared" si="7"/>
        <v>0.60104076400856554</v>
      </c>
      <c r="Q18" s="8">
        <f t="shared" si="8"/>
        <v>1.4137491878159372</v>
      </c>
    </row>
    <row r="19" spans="1:17">
      <c r="A19" s="1">
        <f t="shared" si="9"/>
        <v>1.8000000000000005</v>
      </c>
      <c r="B19" s="1">
        <v>86.95</v>
      </c>
      <c r="C19" s="1">
        <v>11.8</v>
      </c>
      <c r="D19" s="10">
        <v>88.35</v>
      </c>
      <c r="F19" s="1">
        <f t="shared" si="1"/>
        <v>1.8000000000000005</v>
      </c>
      <c r="G19" s="1">
        <f t="shared" si="0"/>
        <v>0.63639610306789285</v>
      </c>
      <c r="H19" s="1">
        <f t="shared" si="2"/>
        <v>86.95</v>
      </c>
      <c r="I19" s="1">
        <f t="shared" si="3"/>
        <v>87.171059322033898</v>
      </c>
      <c r="J19" s="1">
        <f t="shared" si="4"/>
        <v>2.6237471572918656</v>
      </c>
      <c r="K19" s="1">
        <f t="shared" si="5"/>
        <v>3.6594381498877206</v>
      </c>
      <c r="L19" s="1">
        <f t="shared" si="6"/>
        <v>8.7168356051940385</v>
      </c>
      <c r="P19" s="1">
        <f t="shared" si="7"/>
        <v>0.63639610306789285</v>
      </c>
      <c r="Q19" s="8">
        <f t="shared" si="8"/>
        <v>1.3873274746860642</v>
      </c>
    </row>
    <row r="20" spans="1:17">
      <c r="A20" s="1">
        <f t="shared" si="9"/>
        <v>1.9000000000000006</v>
      </c>
      <c r="B20" s="1">
        <v>81.27</v>
      </c>
      <c r="C20" s="1">
        <v>11.8</v>
      </c>
      <c r="D20" s="10">
        <v>83.16</v>
      </c>
      <c r="F20" s="1">
        <f t="shared" si="1"/>
        <v>1.9000000000000006</v>
      </c>
      <c r="G20" s="1">
        <f t="shared" si="0"/>
        <v>0.67175144212722027</v>
      </c>
      <c r="H20" s="1">
        <f t="shared" si="2"/>
        <v>81.27</v>
      </c>
      <c r="I20" s="1">
        <f t="shared" si="3"/>
        <v>81.476618644067784</v>
      </c>
      <c r="J20" s="1">
        <f t="shared" si="4"/>
        <v>2.4140378408750371</v>
      </c>
      <c r="K20" s="1">
        <f t="shared" si="5"/>
        <v>3.8691474663045491</v>
      </c>
      <c r="L20" s="1">
        <f t="shared" si="6"/>
        <v>8.5071262887772114</v>
      </c>
      <c r="P20" s="1">
        <f t="shared" si="7"/>
        <v>0.67175144212722027</v>
      </c>
      <c r="Q20" s="8">
        <f t="shared" si="8"/>
        <v>1.353951200365904</v>
      </c>
    </row>
    <row r="21" spans="1:17">
      <c r="A21" s="1">
        <f t="shared" si="9"/>
        <v>2.0000000000000004</v>
      </c>
      <c r="B21" s="1">
        <v>73.09</v>
      </c>
      <c r="C21" s="1">
        <v>11.8</v>
      </c>
      <c r="D21" s="10">
        <v>75.61</v>
      </c>
      <c r="F21" s="1">
        <f t="shared" si="1"/>
        <v>2.0000000000000004</v>
      </c>
      <c r="G21" s="1">
        <f t="shared" si="0"/>
        <v>0.70710678118654768</v>
      </c>
      <c r="H21" s="1">
        <f t="shared" si="2"/>
        <v>73.09</v>
      </c>
      <c r="I21" s="1">
        <f t="shared" si="3"/>
        <v>73.275822033898308</v>
      </c>
      <c r="J21" s="1">
        <f t="shared" si="4"/>
        <v>2.1784994770011119</v>
      </c>
      <c r="K21" s="1">
        <f t="shared" si="5"/>
        <v>4.1046858301784743</v>
      </c>
      <c r="L21" s="1">
        <f t="shared" si="6"/>
        <v>8.2715879249032866</v>
      </c>
      <c r="P21" s="1">
        <f t="shared" si="7"/>
        <v>0.70710678118654768</v>
      </c>
      <c r="Q21" s="8">
        <f t="shared" si="8"/>
        <v>1.3164641054675912</v>
      </c>
    </row>
    <row r="22" spans="1:17">
      <c r="A22" s="1">
        <f t="shared" si="9"/>
        <v>2.1000000000000005</v>
      </c>
      <c r="B22" s="1">
        <v>62.97</v>
      </c>
      <c r="C22" s="1">
        <v>11.8</v>
      </c>
      <c r="D22" s="10">
        <v>66</v>
      </c>
      <c r="F22" s="1">
        <f t="shared" si="1"/>
        <v>2.1000000000000005</v>
      </c>
      <c r="G22" s="1">
        <f t="shared" si="0"/>
        <v>0.74246212024587499</v>
      </c>
      <c r="H22" s="1">
        <f t="shared" si="2"/>
        <v>62.97</v>
      </c>
      <c r="I22" s="1">
        <f t="shared" si="3"/>
        <v>63.130093220338985</v>
      </c>
      <c r="J22" s="1">
        <f t="shared" si="4"/>
        <v>1.9320698980565869</v>
      </c>
      <c r="K22" s="1">
        <f t="shared" si="5"/>
        <v>4.3511154091229995</v>
      </c>
      <c r="L22" s="1">
        <f t="shared" si="6"/>
        <v>8.0251583459587614</v>
      </c>
      <c r="P22" s="1">
        <f t="shared" si="7"/>
        <v>0.74246212024587499</v>
      </c>
      <c r="Q22" s="8">
        <f t="shared" si="8"/>
        <v>1.2772436198545156</v>
      </c>
    </row>
    <row r="23" spans="1:17">
      <c r="A23" s="1">
        <f t="shared" si="9"/>
        <v>2.2000000000000006</v>
      </c>
      <c r="B23" s="1">
        <v>51.94</v>
      </c>
      <c r="C23" s="1">
        <v>11.8</v>
      </c>
      <c r="D23" s="10">
        <v>54.79</v>
      </c>
      <c r="F23" s="1">
        <f t="shared" si="1"/>
        <v>2.2000000000000006</v>
      </c>
      <c r="G23" s="1">
        <f t="shared" si="0"/>
        <v>0.77781745930520241</v>
      </c>
      <c r="H23" s="1">
        <f t="shared" si="2"/>
        <v>51.94</v>
      </c>
      <c r="I23" s="1">
        <f t="shared" si="3"/>
        <v>52.072050847457625</v>
      </c>
      <c r="J23" s="1">
        <f t="shared" si="4"/>
        <v>1.6874497554024397</v>
      </c>
      <c r="K23" s="1">
        <f t="shared" si="5"/>
        <v>4.5957355517771461</v>
      </c>
      <c r="L23" s="1">
        <f t="shared" si="6"/>
        <v>7.780538203304614</v>
      </c>
      <c r="P23" s="1">
        <f t="shared" si="7"/>
        <v>0.77781745930520241</v>
      </c>
      <c r="Q23" s="8">
        <f t="shared" si="8"/>
        <v>1.2383111149712636</v>
      </c>
    </row>
    <row r="24" spans="1:17">
      <c r="A24" s="1">
        <f t="shared" si="9"/>
        <v>2.3000000000000007</v>
      </c>
      <c r="B24" s="1">
        <v>40.68</v>
      </c>
      <c r="C24" s="1">
        <v>11.8</v>
      </c>
      <c r="D24" s="10">
        <v>42.85</v>
      </c>
      <c r="F24" s="1">
        <f t="shared" si="1"/>
        <v>2.3000000000000007</v>
      </c>
      <c r="G24" s="1">
        <f t="shared" si="0"/>
        <v>0.81317279836452983</v>
      </c>
      <c r="H24" s="1">
        <f t="shared" si="2"/>
        <v>40.68</v>
      </c>
      <c r="I24" s="1">
        <f t="shared" si="3"/>
        <v>40.783423728813553</v>
      </c>
      <c r="J24" s="1">
        <f t="shared" si="4"/>
        <v>1.4448320978615234</v>
      </c>
      <c r="K24" s="1">
        <f t="shared" si="5"/>
        <v>4.838353209318063</v>
      </c>
      <c r="L24" s="1">
        <f t="shared" si="6"/>
        <v>7.5379205457636971</v>
      </c>
      <c r="P24" s="1">
        <f t="shared" si="7"/>
        <v>0.81317279836452983</v>
      </c>
      <c r="Q24" s="8">
        <f t="shared" si="8"/>
        <v>1.1996973154922499</v>
      </c>
    </row>
    <row r="25" spans="1:17">
      <c r="A25" s="1">
        <f t="shared" si="9"/>
        <v>2.4000000000000008</v>
      </c>
      <c r="B25" s="1">
        <v>29.84</v>
      </c>
      <c r="C25" s="1">
        <v>11.8</v>
      </c>
      <c r="D25" s="10">
        <v>31.1</v>
      </c>
      <c r="F25" s="1">
        <f t="shared" si="1"/>
        <v>2.4000000000000008</v>
      </c>
      <c r="G25" s="1">
        <f t="shared" si="0"/>
        <v>0.84852813742385724</v>
      </c>
      <c r="H25" s="1">
        <f t="shared" si="2"/>
        <v>29.84</v>
      </c>
      <c r="I25" s="1">
        <f t="shared" si="3"/>
        <v>29.915864406779662</v>
      </c>
      <c r="J25" s="1">
        <f t="shared" si="4"/>
        <v>1.2040024786030312</v>
      </c>
      <c r="K25" s="1">
        <f t="shared" si="5"/>
        <v>5.0791828285765552</v>
      </c>
      <c r="L25" s="1">
        <f t="shared" si="6"/>
        <v>7.2970909265052049</v>
      </c>
      <c r="P25" s="1">
        <f t="shared" si="7"/>
        <v>0.84852813742385724</v>
      </c>
      <c r="Q25" s="8">
        <f t="shared" si="8"/>
        <v>1.1613680911443218</v>
      </c>
    </row>
    <row r="26" spans="1:17">
      <c r="A26" s="1">
        <f t="shared" si="9"/>
        <v>2.5000000000000009</v>
      </c>
      <c r="B26" s="1">
        <v>20.079999999999998</v>
      </c>
      <c r="C26" s="1">
        <v>11.8</v>
      </c>
      <c r="D26" s="10">
        <v>20.440000000000001</v>
      </c>
      <c r="F26" s="1">
        <f t="shared" si="1"/>
        <v>2.5000000000000009</v>
      </c>
      <c r="G26" s="1">
        <f t="shared" si="0"/>
        <v>0.88388347648318466</v>
      </c>
      <c r="H26" s="1">
        <f t="shared" si="2"/>
        <v>20.079999999999998</v>
      </c>
      <c r="I26" s="1">
        <f t="shared" si="3"/>
        <v>20.131050847457622</v>
      </c>
      <c r="J26" s="1">
        <f t="shared" si="4"/>
        <v>0.96623150937758495</v>
      </c>
      <c r="K26" s="1">
        <f t="shared" si="5"/>
        <v>5.3169537978020012</v>
      </c>
      <c r="L26" s="1">
        <f t="shared" si="6"/>
        <v>7.0593199572797589</v>
      </c>
      <c r="P26" s="1">
        <f t="shared" si="7"/>
        <v>0.88388347648318466</v>
      </c>
      <c r="Q26" s="8">
        <f t="shared" si="8"/>
        <v>1.123525666068341</v>
      </c>
    </row>
    <row r="27" spans="1:17">
      <c r="A27" s="1">
        <f t="shared" si="9"/>
        <v>2.600000000000001</v>
      </c>
      <c r="B27" s="1">
        <v>11.71</v>
      </c>
      <c r="C27" s="1">
        <v>11.8</v>
      </c>
      <c r="D27" s="10">
        <v>11.61</v>
      </c>
      <c r="E27" s="9" t="s">
        <v>16</v>
      </c>
      <c r="F27" s="1">
        <f t="shared" si="1"/>
        <v>2.600000000000001</v>
      </c>
      <c r="G27" s="1">
        <f t="shared" si="0"/>
        <v>0.91923881554251208</v>
      </c>
      <c r="H27" s="1">
        <f t="shared" si="2"/>
        <v>11.71</v>
      </c>
      <c r="I27" s="1">
        <f t="shared" si="3"/>
        <v>11.739771186440677</v>
      </c>
      <c r="J27" s="1">
        <f t="shared" si="4"/>
        <v>0.72528957727223742</v>
      </c>
      <c r="K27" s="1">
        <f t="shared" si="5"/>
        <v>5.557895729907349</v>
      </c>
      <c r="L27" s="1">
        <f t="shared" si="6"/>
        <v>6.8183780251744111</v>
      </c>
      <c r="P27" s="1">
        <f t="shared" si="7"/>
        <v>0.91923881554251208</v>
      </c>
      <c r="Q27" s="8">
        <f t="shared" si="8"/>
        <v>1.085178566575663</v>
      </c>
    </row>
    <row r="28" spans="1:17">
      <c r="A28" s="1">
        <f t="shared" si="9"/>
        <v>2.7000000000000011</v>
      </c>
      <c r="B28" s="1">
        <v>5.32</v>
      </c>
      <c r="C28" s="1">
        <v>11.8</v>
      </c>
      <c r="F28" s="1">
        <f t="shared" si="1"/>
        <v>2.7000000000000011</v>
      </c>
      <c r="G28" s="1">
        <f t="shared" si="0"/>
        <v>0.9545941546018395</v>
      </c>
      <c r="H28" s="1">
        <f t="shared" si="2"/>
        <v>5.32</v>
      </c>
      <c r="I28" s="1">
        <f t="shared" si="3"/>
        <v>5.3335254237288137</v>
      </c>
      <c r="J28" s="1">
        <f t="shared" si="4"/>
        <v>0.48289819195738781</v>
      </c>
      <c r="K28" s="1">
        <f t="shared" si="5"/>
        <v>5.8002871152221989</v>
      </c>
      <c r="L28" s="1">
        <f t="shared" si="6"/>
        <v>6.5759866398595612</v>
      </c>
      <c r="P28" s="1">
        <f t="shared" si="7"/>
        <v>0.9545941546018395</v>
      </c>
      <c r="Q28" s="8">
        <f t="shared" si="8"/>
        <v>1.0466007794399126</v>
      </c>
    </row>
    <row r="29" spans="1:17">
      <c r="A29" s="1">
        <f t="shared" si="9"/>
        <v>2.8000000000000012</v>
      </c>
      <c r="B29" s="1">
        <v>1.4</v>
      </c>
      <c r="C29" s="1">
        <v>11.8</v>
      </c>
      <c r="F29" s="1">
        <f t="shared" si="1"/>
        <v>2.8000000000000012</v>
      </c>
      <c r="G29" s="1">
        <f t="shared" si="0"/>
        <v>0.98994949366116691</v>
      </c>
      <c r="H29" s="1">
        <f t="shared" si="2"/>
        <v>1.4</v>
      </c>
      <c r="I29" s="1">
        <f t="shared" si="3"/>
        <v>1.403559322033898</v>
      </c>
      <c r="J29" s="1">
        <f t="shared" si="4"/>
        <v>0.2459409947544855</v>
      </c>
      <c r="K29" s="1">
        <f t="shared" si="5"/>
        <v>6.0372443124251003</v>
      </c>
      <c r="L29" s="1">
        <f t="shared" si="6"/>
        <v>6.3390294426566598</v>
      </c>
      <c r="P29" s="1">
        <f t="shared" si="7"/>
        <v>0.98994949366116691</v>
      </c>
      <c r="Q29" s="8">
        <f t="shared" si="8"/>
        <v>1.0088878702038697</v>
      </c>
    </row>
    <row r="30" spans="1:17">
      <c r="A30" s="1">
        <f t="shared" si="9"/>
        <v>2.9000000000000012</v>
      </c>
      <c r="B30" s="1">
        <v>0.21</v>
      </c>
      <c r="C30" s="1">
        <v>11.8</v>
      </c>
      <c r="F30" s="1">
        <f t="shared" si="1"/>
        <v>2.9000000000000012</v>
      </c>
      <c r="G30" s="1">
        <f t="shared" si="0"/>
        <v>1.0253048327204943</v>
      </c>
      <c r="H30" s="1">
        <f t="shared" si="2"/>
        <v>0.21</v>
      </c>
      <c r="I30" s="1">
        <f t="shared" si="3"/>
        <v>0.2105338983050847</v>
      </c>
      <c r="J30" s="1">
        <f t="shared" si="4"/>
        <v>9.5048429638705967E-2</v>
      </c>
      <c r="K30" s="1">
        <f t="shared" si="5"/>
        <v>6.18813687754088</v>
      </c>
      <c r="L30" s="1">
        <f t="shared" si="6"/>
        <v>6.18813687754088</v>
      </c>
      <c r="P30" s="1">
        <f t="shared" si="7"/>
        <v>1.0253048327204943</v>
      </c>
      <c r="Q30" s="8">
        <f t="shared" si="8"/>
        <v>0.9848725725898777</v>
      </c>
    </row>
    <row r="31" spans="1:17">
      <c r="A31" s="1">
        <f t="shared" si="9"/>
        <v>3.0000000000000013</v>
      </c>
      <c r="B31" s="1">
        <v>1.79</v>
      </c>
      <c r="C31" s="1">
        <v>11.8</v>
      </c>
      <c r="F31" s="1">
        <f t="shared" si="1"/>
        <v>3.0000000000000013</v>
      </c>
      <c r="G31" s="1">
        <f t="shared" si="0"/>
        <v>1.0606601717798216</v>
      </c>
      <c r="H31" s="1">
        <f t="shared" si="2"/>
        <v>1.79</v>
      </c>
      <c r="I31" s="1">
        <f t="shared" si="3"/>
        <v>1.7945508474576268</v>
      </c>
      <c r="J31" s="1">
        <f t="shared" si="4"/>
        <v>0.27829196522109156</v>
      </c>
      <c r="K31" s="1">
        <f t="shared" si="5"/>
        <v>6.0048933419584944</v>
      </c>
      <c r="L31" s="1">
        <v>6.0048933419584944</v>
      </c>
      <c r="P31" s="1">
        <f t="shared" si="7"/>
        <v>1.0606601717798216</v>
      </c>
      <c r="Q31" s="8">
        <f t="shared" si="8"/>
        <v>0.95570845811230543</v>
      </c>
    </row>
    <row r="32" spans="1:17">
      <c r="A32" s="1">
        <f t="shared" si="9"/>
        <v>3.1000000000000014</v>
      </c>
      <c r="B32" s="1">
        <v>5.78</v>
      </c>
      <c r="C32" s="1">
        <v>11.8</v>
      </c>
      <c r="F32" s="1">
        <f t="shared" si="1"/>
        <v>3.1000000000000014</v>
      </c>
      <c r="G32" s="1">
        <f t="shared" si="0"/>
        <v>1.0960155108391492</v>
      </c>
      <c r="H32" s="1">
        <f t="shared" si="2"/>
        <v>5.78</v>
      </c>
      <c r="I32" s="1">
        <f t="shared" si="3"/>
        <v>5.7946949152542375</v>
      </c>
      <c r="J32" s="1">
        <f t="shared" si="4"/>
        <v>0.50377658343762999</v>
      </c>
      <c r="K32" s="1">
        <f t="shared" si="5"/>
        <v>5.7794087237419562</v>
      </c>
      <c r="L32" s="1">
        <v>5.7794087237419562</v>
      </c>
      <c r="P32" s="1">
        <f t="shared" si="7"/>
        <v>1.0960155108391492</v>
      </c>
      <c r="Q32" s="8">
        <f t="shared" si="8"/>
        <v>0.91982146653195451</v>
      </c>
    </row>
    <row r="33" spans="1:21">
      <c r="A33" s="1">
        <f t="shared" si="9"/>
        <v>3.2000000000000015</v>
      </c>
      <c r="B33" s="1">
        <v>11.69</v>
      </c>
      <c r="C33" s="1">
        <v>11.8</v>
      </c>
      <c r="F33" s="1">
        <f t="shared" si="1"/>
        <v>3.2000000000000015</v>
      </c>
      <c r="G33" s="1">
        <f t="shared" si="0"/>
        <v>1.1313708498984765</v>
      </c>
      <c r="H33" s="1">
        <f t="shared" si="2"/>
        <v>11.69</v>
      </c>
      <c r="I33" s="1">
        <f t="shared" si="3"/>
        <v>11.71972033898305</v>
      </c>
      <c r="J33" s="1">
        <f t="shared" si="4"/>
        <v>0.72464130369182467</v>
      </c>
      <c r="K33" s="1">
        <f t="shared" si="5"/>
        <v>5.5585440034877616</v>
      </c>
      <c r="L33" s="1">
        <v>5.5585440034877616</v>
      </c>
      <c r="P33" s="1">
        <f t="shared" si="7"/>
        <v>1.1313708498984765</v>
      </c>
      <c r="Q33" s="8">
        <f t="shared" si="8"/>
        <v>0.88466975454889074</v>
      </c>
    </row>
    <row r="34" spans="1:21">
      <c r="A34" s="1">
        <f t="shared" si="9"/>
        <v>3.3000000000000016</v>
      </c>
      <c r="B34" s="1">
        <v>18.850000000000001</v>
      </c>
      <c r="C34" s="1">
        <v>11.8</v>
      </c>
      <c r="F34" s="1">
        <f t="shared" si="1"/>
        <v>3.3000000000000016</v>
      </c>
      <c r="G34" s="1">
        <f t="shared" ref="G34:G65" si="10">F34/2/SQRT(2)</f>
        <v>1.166726188957804</v>
      </c>
      <c r="H34" s="1">
        <f t="shared" si="2"/>
        <v>18.850000000000001</v>
      </c>
      <c r="I34" s="1">
        <f t="shared" si="3"/>
        <v>18.897923728813559</v>
      </c>
      <c r="J34" s="1">
        <f t="shared" si="4"/>
        <v>0.93372789134387313</v>
      </c>
      <c r="K34" s="1">
        <f t="shared" si="5"/>
        <v>5.3494574158357135</v>
      </c>
      <c r="L34" s="1">
        <v>5.3494574158357135</v>
      </c>
      <c r="P34" s="1">
        <f t="shared" si="7"/>
        <v>1.166726188957804</v>
      </c>
      <c r="Q34" s="8">
        <f t="shared" si="8"/>
        <v>0.85139259058985051</v>
      </c>
    </row>
    <row r="35" spans="1:21">
      <c r="A35" s="1">
        <f t="shared" si="9"/>
        <v>3.4000000000000017</v>
      </c>
      <c r="B35" s="1">
        <v>26.72</v>
      </c>
      <c r="C35" s="1">
        <v>11.8</v>
      </c>
      <c r="F35" s="1">
        <f t="shared" si="1"/>
        <v>3.4000000000000017</v>
      </c>
      <c r="G35" s="1">
        <f t="shared" si="10"/>
        <v>1.2020815280171313</v>
      </c>
      <c r="H35" s="1">
        <f t="shared" si="2"/>
        <v>26.72</v>
      </c>
      <c r="I35" s="1">
        <f t="shared" si="3"/>
        <v>26.787932203389829</v>
      </c>
      <c r="J35" s="1">
        <f t="shared" si="4"/>
        <v>1.131077434552086</v>
      </c>
      <c r="K35" s="1">
        <f t="shared" si="5"/>
        <v>5.1521078726275</v>
      </c>
      <c r="L35" s="1">
        <v>5.1521078726275</v>
      </c>
      <c r="P35" s="1">
        <f t="shared" si="7"/>
        <v>1.2020815280171313</v>
      </c>
      <c r="Q35" s="8">
        <f t="shared" si="8"/>
        <v>0.81998343527133577</v>
      </c>
    </row>
    <row r="36" spans="1:21">
      <c r="A36" s="1">
        <f t="shared" si="9"/>
        <v>3.5000000000000018</v>
      </c>
      <c r="B36" s="1">
        <v>34.83</v>
      </c>
      <c r="C36" s="1">
        <v>11.8</v>
      </c>
      <c r="F36" s="1">
        <f t="shared" si="1"/>
        <v>3.5000000000000018</v>
      </c>
      <c r="G36" s="1">
        <f t="shared" si="10"/>
        <v>1.2374368670764586</v>
      </c>
      <c r="H36" s="1">
        <f t="shared" si="2"/>
        <v>34.83</v>
      </c>
      <c r="I36" s="1">
        <f t="shared" si="3"/>
        <v>34.918550847457624</v>
      </c>
      <c r="J36" s="1">
        <f t="shared" si="4"/>
        <v>1.3167006439857529</v>
      </c>
      <c r="K36" s="1">
        <f t="shared" si="5"/>
        <v>4.9664846631938335</v>
      </c>
      <c r="L36" s="1">
        <v>4.9664846631938335</v>
      </c>
      <c r="P36" s="1">
        <f t="shared" si="7"/>
        <v>1.2374368670764586</v>
      </c>
      <c r="Q36" s="8">
        <f t="shared" si="8"/>
        <v>0.79044058393738559</v>
      </c>
    </row>
    <row r="37" spans="1:21">
      <c r="A37" s="1">
        <f t="shared" si="9"/>
        <v>3.6000000000000019</v>
      </c>
      <c r="B37" s="1">
        <v>42.87</v>
      </c>
      <c r="C37" s="1">
        <v>11.8</v>
      </c>
      <c r="F37" s="1">
        <f t="shared" si="1"/>
        <v>3.6000000000000019</v>
      </c>
      <c r="G37" s="1">
        <f t="shared" si="10"/>
        <v>1.2727922061357861</v>
      </c>
      <c r="H37" s="1">
        <f t="shared" si="2"/>
        <v>42.87</v>
      </c>
      <c r="I37" s="1">
        <f t="shared" si="3"/>
        <v>42.978991525423723</v>
      </c>
      <c r="J37" s="1">
        <f t="shared" si="4"/>
        <v>1.4921553800054659</v>
      </c>
      <c r="K37" s="1">
        <f t="shared" si="5"/>
        <v>4.7910299271741206</v>
      </c>
      <c r="L37" s="1">
        <v>4.7910299271741206</v>
      </c>
      <c r="P37" s="1">
        <f t="shared" si="7"/>
        <v>1.2727922061357861</v>
      </c>
      <c r="Q37" s="8">
        <f t="shared" si="8"/>
        <v>0.76251609541096466</v>
      </c>
      <c r="R37" s="8" t="s">
        <v>13</v>
      </c>
      <c r="S37" s="8"/>
      <c r="T37" s="8"/>
      <c r="U37" s="8"/>
    </row>
    <row r="38" spans="1:21">
      <c r="A38" s="1">
        <f t="shared" si="9"/>
        <v>3.700000000000002</v>
      </c>
      <c r="B38" s="1">
        <v>50.61</v>
      </c>
      <c r="C38" s="1">
        <v>11.8</v>
      </c>
      <c r="F38" s="1">
        <f t="shared" si="1"/>
        <v>3.700000000000002</v>
      </c>
      <c r="G38" s="1">
        <f t="shared" si="10"/>
        <v>1.3081475451951134</v>
      </c>
      <c r="H38" s="1">
        <f t="shared" si="2"/>
        <v>50.61</v>
      </c>
      <c r="I38" s="1">
        <f t="shared" si="3"/>
        <v>50.738669491525428</v>
      </c>
      <c r="J38" s="1">
        <f t="shared" si="4"/>
        <v>1.6587117915477934</v>
      </c>
      <c r="K38" s="1">
        <f t="shared" si="5"/>
        <v>4.6244735156317933</v>
      </c>
      <c r="L38" s="1">
        <v>4.6244735156317933</v>
      </c>
      <c r="P38" s="1">
        <f t="shared" si="7"/>
        <v>1.3081475451951134</v>
      </c>
      <c r="Q38" s="8">
        <f t="shared" si="8"/>
        <v>0.7360078192103553</v>
      </c>
    </row>
    <row r="39" spans="1:21">
      <c r="A39" s="1">
        <f t="shared" si="9"/>
        <v>3.800000000000002</v>
      </c>
      <c r="B39" s="1">
        <v>57.9</v>
      </c>
      <c r="C39" s="1">
        <v>11.8</v>
      </c>
      <c r="F39" s="1">
        <f t="shared" si="1"/>
        <v>3.800000000000002</v>
      </c>
      <c r="G39" s="1">
        <f t="shared" si="10"/>
        <v>1.343502884254441</v>
      </c>
      <c r="H39" s="1">
        <f t="shared" si="2"/>
        <v>57.9</v>
      </c>
      <c r="I39" s="1">
        <f t="shared" si="3"/>
        <v>58.047203389830507</v>
      </c>
      <c r="J39" s="1">
        <f t="shared" si="4"/>
        <v>1.8177923000436202</v>
      </c>
      <c r="K39" s="1">
        <f t="shared" si="5"/>
        <v>4.4653930071359662</v>
      </c>
      <c r="L39" s="1">
        <v>4.4653930071359662</v>
      </c>
      <c r="P39" s="1">
        <f t="shared" si="7"/>
        <v>1.343502884254441</v>
      </c>
      <c r="Q39" s="8">
        <f t="shared" si="8"/>
        <v>0.71068936993367215</v>
      </c>
    </row>
    <row r="40" spans="1:21">
      <c r="A40" s="1">
        <f t="shared" si="9"/>
        <v>3.9000000000000021</v>
      </c>
      <c r="B40" s="1">
        <v>64.64</v>
      </c>
      <c r="C40" s="1">
        <v>11.8</v>
      </c>
      <c r="F40" s="1">
        <f t="shared" si="1"/>
        <v>3.9000000000000021</v>
      </c>
      <c r="G40" s="1">
        <f t="shared" si="10"/>
        <v>1.3788582233137683</v>
      </c>
      <c r="H40" s="1">
        <f t="shared" si="2"/>
        <v>64.64</v>
      </c>
      <c r="I40" s="1">
        <f t="shared" si="3"/>
        <v>64.80433898305084</v>
      </c>
      <c r="J40" s="1">
        <f t="shared" si="4"/>
        <v>1.9707335918583182</v>
      </c>
      <c r="K40" s="1">
        <f t="shared" si="5"/>
        <v>4.3124517153212683</v>
      </c>
      <c r="L40" s="1">
        <v>4.3124517153212683</v>
      </c>
      <c r="P40" s="1">
        <f t="shared" si="7"/>
        <v>1.3788582233137683</v>
      </c>
      <c r="Q40" s="8">
        <f t="shared" si="8"/>
        <v>0.68634800733850287</v>
      </c>
    </row>
    <row r="41" spans="1:21">
      <c r="A41" s="1">
        <f t="shared" si="9"/>
        <v>4.0000000000000018</v>
      </c>
      <c r="B41" s="1">
        <v>70.760000000000005</v>
      </c>
      <c r="C41" s="1">
        <v>11.8</v>
      </c>
      <c r="F41" s="1">
        <f t="shared" si="1"/>
        <v>4.0000000000000018</v>
      </c>
      <c r="G41" s="1">
        <f t="shared" si="10"/>
        <v>1.4142135623730956</v>
      </c>
      <c r="H41" s="1">
        <f t="shared" si="2"/>
        <v>70.760000000000005</v>
      </c>
      <c r="I41" s="1">
        <f t="shared" si="3"/>
        <v>70.939898305084753</v>
      </c>
      <c r="J41" s="1">
        <f t="shared" si="4"/>
        <v>2.1187044852867802</v>
      </c>
      <c r="K41" s="1">
        <f t="shared" si="5"/>
        <v>4.1644808218928056</v>
      </c>
      <c r="L41" s="1">
        <v>4.1644808218928056</v>
      </c>
      <c r="P41" s="1">
        <f t="shared" si="7"/>
        <v>1.4142135623730956</v>
      </c>
      <c r="Q41" s="8">
        <f t="shared" si="8"/>
        <v>0.66279770821563899</v>
      </c>
    </row>
    <row r="42" spans="1:21">
      <c r="A42" s="1">
        <f t="shared" si="9"/>
        <v>4.1000000000000014</v>
      </c>
      <c r="B42" s="1">
        <v>76.099999999999994</v>
      </c>
      <c r="C42" s="1">
        <v>11.8</v>
      </c>
      <c r="F42" s="1">
        <f t="shared" si="1"/>
        <v>4.1000000000000014</v>
      </c>
      <c r="G42" s="1">
        <f t="shared" si="10"/>
        <v>1.4495689014324229</v>
      </c>
      <c r="H42" s="1">
        <f t="shared" si="2"/>
        <v>76.099999999999994</v>
      </c>
      <c r="I42" s="1">
        <f t="shared" si="3"/>
        <v>76.29347457627118</v>
      </c>
      <c r="J42" s="1">
        <f t="shared" si="4"/>
        <v>2.2596850765777114</v>
      </c>
      <c r="K42" s="1">
        <f t="shared" si="5"/>
        <v>4.0235002306018748</v>
      </c>
      <c r="L42" s="1">
        <v>4.0235002306018748</v>
      </c>
      <c r="P42" s="1">
        <f t="shared" si="7"/>
        <v>1.4495689014324229</v>
      </c>
      <c r="Q42" s="8">
        <f t="shared" si="8"/>
        <v>0.64035995023166914</v>
      </c>
    </row>
    <row r="43" spans="1:21">
      <c r="A43" s="1">
        <f t="shared" si="9"/>
        <v>4.2000000000000011</v>
      </c>
      <c r="B43" s="1">
        <v>80.72</v>
      </c>
      <c r="C43" s="1">
        <v>11.8</v>
      </c>
      <c r="F43" s="1">
        <f t="shared" si="1"/>
        <v>4.2000000000000011</v>
      </c>
      <c r="G43" s="1">
        <f t="shared" si="10"/>
        <v>1.48492424049175</v>
      </c>
      <c r="H43" s="1">
        <f t="shared" si="2"/>
        <v>80.72</v>
      </c>
      <c r="I43" s="1">
        <f t="shared" si="3"/>
        <v>80.925220338983038</v>
      </c>
      <c r="J43" s="1">
        <f t="shared" si="4"/>
        <v>2.3964352718677233</v>
      </c>
      <c r="K43" s="1">
        <f t="shared" si="5"/>
        <v>3.8867500353118629</v>
      </c>
      <c r="L43" s="1">
        <v>3.8867500353118629</v>
      </c>
      <c r="P43" s="1">
        <f t="shared" si="7"/>
        <v>1.48492424049175</v>
      </c>
      <c r="Q43" s="8">
        <f t="shared" si="8"/>
        <v>0.61859548068248171</v>
      </c>
    </row>
    <row r="44" spans="1:21">
      <c r="A44" s="1">
        <f t="shared" si="9"/>
        <v>4.3000000000000007</v>
      </c>
      <c r="B44" s="1">
        <v>84.62</v>
      </c>
      <c r="C44" s="1">
        <v>11.8</v>
      </c>
      <c r="F44" s="1">
        <f t="shared" si="1"/>
        <v>4.3000000000000007</v>
      </c>
      <c r="G44" s="1">
        <f t="shared" si="10"/>
        <v>1.5202795795510773</v>
      </c>
      <c r="H44" s="1">
        <f t="shared" si="2"/>
        <v>84.62</v>
      </c>
      <c r="I44" s="1">
        <f t="shared" si="3"/>
        <v>84.835135593220343</v>
      </c>
      <c r="J44" s="1">
        <f t="shared" si="4"/>
        <v>2.5301262691175452</v>
      </c>
      <c r="K44" s="1">
        <f t="shared" si="5"/>
        <v>3.753059038062041</v>
      </c>
      <c r="L44" s="1">
        <v>3.753059038062041</v>
      </c>
      <c r="P44" s="1">
        <f t="shared" si="7"/>
        <v>1.5202795795510773</v>
      </c>
      <c r="Q44" s="8">
        <f t="shared" si="8"/>
        <v>0.59731789762328757</v>
      </c>
    </row>
    <row r="45" spans="1:21">
      <c r="A45" s="1">
        <f t="shared" si="9"/>
        <v>4.4000000000000004</v>
      </c>
      <c r="B45" s="1">
        <v>87.72</v>
      </c>
      <c r="C45" s="1">
        <v>11.8</v>
      </c>
      <c r="F45" s="1">
        <f t="shared" si="1"/>
        <v>4.4000000000000004</v>
      </c>
      <c r="G45" s="1">
        <f t="shared" si="10"/>
        <v>1.5556349186104046</v>
      </c>
      <c r="H45" s="1">
        <f t="shared" si="2"/>
        <v>87.72</v>
      </c>
      <c r="I45" s="1">
        <f t="shared" si="3"/>
        <v>87.943016949152536</v>
      </c>
      <c r="J45" s="1">
        <f t="shared" si="4"/>
        <v>2.6582317839498844</v>
      </c>
      <c r="K45" s="1">
        <f t="shared" si="5"/>
        <v>3.6249535232297019</v>
      </c>
      <c r="L45" s="1">
        <v>3.6249535232297019</v>
      </c>
      <c r="P45" s="1">
        <f t="shared" si="7"/>
        <v>1.5556349186104046</v>
      </c>
      <c r="Q45" s="8">
        <f t="shared" si="8"/>
        <v>0.57692927170038877</v>
      </c>
    </row>
    <row r="46" spans="1:21">
      <c r="A46" s="1">
        <f t="shared" si="9"/>
        <v>4.5</v>
      </c>
      <c r="B46" s="1">
        <v>90.1</v>
      </c>
      <c r="C46" s="1">
        <v>11.8</v>
      </c>
      <c r="F46" s="1">
        <f t="shared" si="1"/>
        <v>4.5</v>
      </c>
      <c r="G46" s="1">
        <f t="shared" si="10"/>
        <v>1.5909902576697319</v>
      </c>
      <c r="H46" s="1">
        <f t="shared" si="2"/>
        <v>90.1</v>
      </c>
      <c r="I46" s="1">
        <f t="shared" si="3"/>
        <v>90.329067796610161</v>
      </c>
      <c r="J46" s="1">
        <f t="shared" si="4"/>
        <v>2.7835747590287161</v>
      </c>
      <c r="K46" s="1">
        <f t="shared" si="5"/>
        <v>3.4996105481508701</v>
      </c>
      <c r="L46" s="1">
        <v>3.4996105481508701</v>
      </c>
      <c r="P46" s="1">
        <f t="shared" si="7"/>
        <v>1.5909902576697319</v>
      </c>
      <c r="Q46" s="8">
        <f t="shared" si="8"/>
        <v>0.55698031763474842</v>
      </c>
    </row>
    <row r="47" spans="1:21">
      <c r="A47" s="1">
        <f t="shared" si="9"/>
        <v>4.5999999999999996</v>
      </c>
      <c r="B47" s="1">
        <v>91.72</v>
      </c>
      <c r="C47" s="1">
        <v>11.8</v>
      </c>
      <c r="F47" s="1">
        <f t="shared" si="1"/>
        <v>4.5999999999999996</v>
      </c>
      <c r="G47" s="1">
        <f t="shared" si="10"/>
        <v>1.626345596729059</v>
      </c>
      <c r="H47" s="1">
        <f t="shared" si="2"/>
        <v>91.72</v>
      </c>
      <c r="I47" s="1">
        <f t="shared" si="3"/>
        <v>91.953186440677968</v>
      </c>
      <c r="J47" s="1">
        <f t="shared" si="4"/>
        <v>2.9019094047245044</v>
      </c>
      <c r="K47" s="1">
        <f t="shared" si="5"/>
        <v>3.3812759024550818</v>
      </c>
      <c r="L47" s="1">
        <v>3.3812759024550818</v>
      </c>
      <c r="P47" s="1">
        <f t="shared" si="7"/>
        <v>1.626345596729059</v>
      </c>
      <c r="Q47" s="8">
        <f t="shared" si="8"/>
        <v>0.53814677383323561</v>
      </c>
    </row>
    <row r="48" spans="1:21">
      <c r="A48" s="1">
        <f t="shared" si="9"/>
        <v>4.6999999999999993</v>
      </c>
      <c r="B48" s="1">
        <v>92.68</v>
      </c>
      <c r="C48" s="1">
        <v>11.8</v>
      </c>
      <c r="F48" s="1">
        <f t="shared" si="1"/>
        <v>4.6999999999999993</v>
      </c>
      <c r="G48" s="1">
        <f t="shared" si="10"/>
        <v>1.6617009357883863</v>
      </c>
      <c r="H48" s="1">
        <f t="shared" si="2"/>
        <v>92.68</v>
      </c>
      <c r="I48" s="1">
        <f t="shared" si="3"/>
        <v>92.915627118644068</v>
      </c>
      <c r="J48" s="1">
        <f t="shared" si="4"/>
        <v>3.0153922023320767</v>
      </c>
      <c r="K48" s="1">
        <f t="shared" si="5"/>
        <v>3.2677931048475095</v>
      </c>
      <c r="L48" s="1">
        <v>3.2677931048475095</v>
      </c>
      <c r="P48" s="1">
        <f t="shared" si="7"/>
        <v>1.6617009357883863</v>
      </c>
      <c r="Q48" s="8">
        <f t="shared" si="8"/>
        <v>0.52008542563809335</v>
      </c>
    </row>
    <row r="49" spans="1:20">
      <c r="A49" s="1">
        <f t="shared" si="9"/>
        <v>4.7999999999999989</v>
      </c>
      <c r="B49" s="1">
        <v>93.05</v>
      </c>
      <c r="C49" s="1">
        <v>11.8</v>
      </c>
      <c r="F49" s="1">
        <f t="shared" si="1"/>
        <v>4.7999999999999989</v>
      </c>
      <c r="G49" s="1">
        <f t="shared" si="10"/>
        <v>1.6970562748477136</v>
      </c>
      <c r="H49" s="1">
        <f t="shared" si="2"/>
        <v>93.05</v>
      </c>
      <c r="I49" s="1">
        <f t="shared" si="3"/>
        <v>93.286567796610171</v>
      </c>
      <c r="J49" s="1">
        <f t="shared" si="4"/>
        <v>3.1415926535897931</v>
      </c>
      <c r="K49" s="1">
        <f t="shared" si="5"/>
        <v>3.1415926535897931</v>
      </c>
      <c r="L49" s="1">
        <v>3.1415926535897931</v>
      </c>
      <c r="P49" s="1">
        <f t="shared" si="7"/>
        <v>1.6970562748477136</v>
      </c>
      <c r="Q49" s="8">
        <f t="shared" si="8"/>
        <v>0.5</v>
      </c>
    </row>
    <row r="50" spans="1:20">
      <c r="A50" s="1">
        <f t="shared" si="9"/>
        <v>4.8999999999999986</v>
      </c>
      <c r="B50" s="1">
        <v>92.86</v>
      </c>
      <c r="C50" s="1">
        <v>11.8</v>
      </c>
      <c r="F50" s="1">
        <f t="shared" si="1"/>
        <v>4.8999999999999986</v>
      </c>
      <c r="G50" s="1">
        <f t="shared" si="10"/>
        <v>1.7324116139070409</v>
      </c>
      <c r="H50" s="1">
        <f t="shared" si="2"/>
        <v>92.86</v>
      </c>
      <c r="I50" s="1">
        <f t="shared" si="3"/>
        <v>93.096084745762695</v>
      </c>
      <c r="J50" s="1">
        <f t="shared" si="4"/>
        <v>3.0511868071334503</v>
      </c>
      <c r="K50" s="1">
        <v>3.0511868071334503</v>
      </c>
      <c r="L50" s="1">
        <v>3.0511868071334503</v>
      </c>
      <c r="P50" s="1">
        <f t="shared" si="7"/>
        <v>1.7324116139070409</v>
      </c>
      <c r="Q50" s="8">
        <f t="shared" si="8"/>
        <v>0.48561146265206612</v>
      </c>
    </row>
    <row r="51" spans="1:20">
      <c r="A51" s="1">
        <f t="shared" si="9"/>
        <v>4.9999999999999982</v>
      </c>
      <c r="B51" s="1">
        <v>92.25</v>
      </c>
      <c r="C51" s="1">
        <v>11.8</v>
      </c>
      <c r="F51" s="1">
        <f t="shared" si="1"/>
        <v>4.9999999999999982</v>
      </c>
      <c r="G51" s="1">
        <f t="shared" si="10"/>
        <v>1.767766952966368</v>
      </c>
      <c r="H51" s="1">
        <f t="shared" si="2"/>
        <v>92.25</v>
      </c>
      <c r="I51" s="1">
        <f t="shared" si="3"/>
        <v>92.484533898305088</v>
      </c>
      <c r="J51" s="1">
        <f t="shared" si="4"/>
        <v>2.9558801770908443</v>
      </c>
      <c r="K51" s="1">
        <v>2.9558801770908443</v>
      </c>
      <c r="L51" s="1">
        <v>2.9558801770908443</v>
      </c>
      <c r="P51" s="1">
        <f t="shared" si="7"/>
        <v>1.767766952966368</v>
      </c>
      <c r="Q51" s="8">
        <f t="shared" si="8"/>
        <v>0.47044294137135484</v>
      </c>
    </row>
    <row r="52" spans="1:20">
      <c r="A52" s="1">
        <f t="shared" si="9"/>
        <v>5.0999999999999979</v>
      </c>
      <c r="B52" s="1">
        <v>91.26</v>
      </c>
      <c r="C52" s="1">
        <v>11.79</v>
      </c>
      <c r="F52" s="1">
        <f t="shared" si="1"/>
        <v>5.0999999999999979</v>
      </c>
      <c r="G52" s="1">
        <f t="shared" si="10"/>
        <v>1.8031222920256953</v>
      </c>
      <c r="H52" s="1">
        <f t="shared" si="2"/>
        <v>91.26</v>
      </c>
      <c r="I52" s="1">
        <f t="shared" si="3"/>
        <v>91.569618320610701</v>
      </c>
      <c r="J52" s="1">
        <f t="shared" si="4"/>
        <v>2.8694225083566205</v>
      </c>
      <c r="K52" s="1">
        <v>2.8694225083566205</v>
      </c>
      <c r="L52" s="1">
        <v>2.8694225083566205</v>
      </c>
      <c r="P52" s="1">
        <f t="shared" si="7"/>
        <v>1.8031222920256953</v>
      </c>
      <c r="Q52" s="8">
        <f t="shared" si="8"/>
        <v>0.45668277602410151</v>
      </c>
    </row>
    <row r="53" spans="1:20">
      <c r="A53" s="1">
        <f t="shared" si="9"/>
        <v>5.1999999999999975</v>
      </c>
      <c r="B53" s="1">
        <v>89.99</v>
      </c>
      <c r="C53" s="1">
        <v>11.8</v>
      </c>
      <c r="F53" s="1">
        <f t="shared" si="1"/>
        <v>5.1999999999999975</v>
      </c>
      <c r="G53" s="1">
        <f t="shared" si="10"/>
        <v>1.8384776310850226</v>
      </c>
      <c r="H53" s="1">
        <f t="shared" si="2"/>
        <v>89.99</v>
      </c>
      <c r="I53" s="1">
        <f t="shared" si="3"/>
        <v>90.218788135593215</v>
      </c>
      <c r="J53" s="1">
        <f t="shared" si="4"/>
        <v>2.7768873413427753</v>
      </c>
      <c r="K53" s="1">
        <v>2.7768873413427753</v>
      </c>
      <c r="L53" s="1">
        <v>2.7768873413427753</v>
      </c>
      <c r="P53" s="1">
        <f t="shared" si="7"/>
        <v>1.8384776310850226</v>
      </c>
      <c r="Q53" s="8">
        <f t="shared" si="8"/>
        <v>0.44195534678401394</v>
      </c>
    </row>
    <row r="54" spans="1:20">
      <c r="A54" s="1">
        <f t="shared" si="9"/>
        <v>5.2999999999999972</v>
      </c>
      <c r="B54" s="1">
        <v>88.45</v>
      </c>
      <c r="C54" s="1">
        <v>11.8</v>
      </c>
      <c r="F54" s="1">
        <f t="shared" si="1"/>
        <v>5.2999999999999972</v>
      </c>
      <c r="G54" s="1">
        <f t="shared" si="10"/>
        <v>1.8738329701443499</v>
      </c>
      <c r="H54" s="1">
        <f t="shared" si="2"/>
        <v>88.45</v>
      </c>
      <c r="I54" s="1">
        <f t="shared" si="3"/>
        <v>88.674872881355924</v>
      </c>
      <c r="J54" s="1">
        <f t="shared" si="4"/>
        <v>2.6931615865263856</v>
      </c>
      <c r="K54" s="1">
        <v>2.6931615865263856</v>
      </c>
      <c r="L54" s="1">
        <v>2.6931615865263856</v>
      </c>
      <c r="P54" s="1">
        <f t="shared" si="7"/>
        <v>1.8738329701443499</v>
      </c>
      <c r="Q54" s="8">
        <f t="shared" si="8"/>
        <v>0.42862997904088546</v>
      </c>
    </row>
    <row r="55" spans="1:20">
      <c r="A55" s="1">
        <f t="shared" si="9"/>
        <v>5.3999999999999968</v>
      </c>
      <c r="B55" s="1">
        <v>86.75</v>
      </c>
      <c r="C55" s="1">
        <v>11.8</v>
      </c>
      <c r="F55" s="1">
        <f t="shared" si="1"/>
        <v>5.3999999999999968</v>
      </c>
      <c r="G55" s="1">
        <f t="shared" si="10"/>
        <v>1.909188309203677</v>
      </c>
      <c r="H55" s="1">
        <f t="shared" si="2"/>
        <v>86.75</v>
      </c>
      <c r="I55" s="1">
        <f t="shared" si="3"/>
        <v>86.970550847457631</v>
      </c>
      <c r="J55" s="1">
        <f t="shared" si="4"/>
        <v>2.6151280405473907</v>
      </c>
      <c r="K55" s="1">
        <v>2.6151280405473907</v>
      </c>
      <c r="L55" s="1">
        <v>2.6151280405473907</v>
      </c>
      <c r="P55" s="1">
        <f t="shared" si="7"/>
        <v>1.909188309203677</v>
      </c>
      <c r="Q55" s="8">
        <f t="shared" si="8"/>
        <v>0.41621055447133976</v>
      </c>
    </row>
    <row r="56" spans="1:20">
      <c r="A56" s="1">
        <f t="shared" si="9"/>
        <v>5.4999999999999964</v>
      </c>
      <c r="B56" s="1">
        <v>84.87</v>
      </c>
      <c r="C56" s="1">
        <v>11.8</v>
      </c>
      <c r="F56" s="1">
        <f t="shared" si="1"/>
        <v>5.4999999999999964</v>
      </c>
      <c r="G56" s="1">
        <f t="shared" si="10"/>
        <v>1.9445436482630043</v>
      </c>
      <c r="H56" s="1">
        <f t="shared" si="2"/>
        <v>84.87</v>
      </c>
      <c r="I56" s="1">
        <f t="shared" si="3"/>
        <v>85.085771186440681</v>
      </c>
      <c r="J56" s="1">
        <f t="shared" si="4"/>
        <v>2.539550040938138</v>
      </c>
      <c r="K56" s="1">
        <v>2.539550040938138</v>
      </c>
      <c r="L56" s="1">
        <v>2.539550040938138</v>
      </c>
      <c r="P56" s="1">
        <f t="shared" si="7"/>
        <v>1.9445436482630043</v>
      </c>
      <c r="Q56" s="8">
        <f t="shared" si="8"/>
        <v>0.40418194224452986</v>
      </c>
    </row>
    <row r="57" spans="1:20">
      <c r="A57" s="1">
        <f t="shared" si="9"/>
        <v>5.5999999999999961</v>
      </c>
      <c r="B57" s="1">
        <v>82.95</v>
      </c>
      <c r="C57" s="1">
        <v>11.8</v>
      </c>
      <c r="F57" s="1">
        <f t="shared" si="1"/>
        <v>5.5999999999999961</v>
      </c>
      <c r="G57" s="1">
        <f t="shared" si="10"/>
        <v>1.9798989873223316</v>
      </c>
      <c r="H57" s="1">
        <f t="shared" si="2"/>
        <v>82.95</v>
      </c>
      <c r="I57" s="1">
        <f t="shared" si="3"/>
        <v>83.160889830508467</v>
      </c>
      <c r="J57" s="1">
        <f t="shared" si="4"/>
        <v>2.4701297947320251</v>
      </c>
      <c r="K57" s="1">
        <v>2.4701297947320251</v>
      </c>
      <c r="L57" s="1">
        <v>2.4701297947320251</v>
      </c>
      <c r="P57" s="1">
        <f t="shared" si="7"/>
        <v>1.9798989873223316</v>
      </c>
      <c r="Q57" s="8">
        <f t="shared" si="8"/>
        <v>0.39313336691017059</v>
      </c>
    </row>
    <row r="58" spans="1:20">
      <c r="A58" s="1">
        <f t="shared" si="9"/>
        <v>5.6999999999999957</v>
      </c>
      <c r="B58" s="1">
        <v>80.959999999999994</v>
      </c>
      <c r="C58" s="1">
        <v>11.8</v>
      </c>
      <c r="F58" s="1">
        <f t="shared" si="1"/>
        <v>5.6999999999999957</v>
      </c>
      <c r="G58" s="1">
        <f t="shared" si="10"/>
        <v>2.0152543263816587</v>
      </c>
      <c r="H58" s="1">
        <f t="shared" si="2"/>
        <v>80.959999999999994</v>
      </c>
      <c r="I58" s="1">
        <f t="shared" si="3"/>
        <v>81.165830508474556</v>
      </c>
      <c r="J58" s="1">
        <f t="shared" si="4"/>
        <v>2.4040744228333089</v>
      </c>
      <c r="K58" s="1">
        <v>2.4040744228333089</v>
      </c>
      <c r="L58" s="1">
        <v>2.4040744228333089</v>
      </c>
      <c r="P58" s="1">
        <f t="shared" si="7"/>
        <v>2.0152543263816587</v>
      </c>
      <c r="Q58" s="8">
        <f t="shared" si="8"/>
        <v>0.3826203279547164</v>
      </c>
    </row>
    <row r="59" spans="1:20">
      <c r="A59" s="1">
        <f t="shared" si="9"/>
        <v>5.7999999999999954</v>
      </c>
      <c r="B59" s="1">
        <v>78.930000000000007</v>
      </c>
      <c r="C59" s="1">
        <v>11.8</v>
      </c>
      <c r="F59" s="1">
        <f t="shared" si="1"/>
        <v>5.7999999999999954</v>
      </c>
      <c r="G59" s="1">
        <f t="shared" si="10"/>
        <v>2.050609665440986</v>
      </c>
      <c r="H59" s="1">
        <f t="shared" si="2"/>
        <v>78.930000000000007</v>
      </c>
      <c r="I59" s="1">
        <f t="shared" si="3"/>
        <v>79.130669491525424</v>
      </c>
      <c r="J59" s="1">
        <f t="shared" si="4"/>
        <v>2.3413146490327632</v>
      </c>
      <c r="K59" s="1">
        <v>2.3413146490327632</v>
      </c>
      <c r="L59" s="1">
        <v>2.3413146490327632</v>
      </c>
      <c r="P59" s="1">
        <f t="shared" si="7"/>
        <v>2.050609665440986</v>
      </c>
      <c r="Q59" s="8">
        <f t="shared" si="8"/>
        <v>0.37263179972703037</v>
      </c>
      <c r="R59" s="4" t="s">
        <v>14</v>
      </c>
      <c r="S59" s="4"/>
      <c r="T59" s="4"/>
    </row>
    <row r="60" spans="1:20">
      <c r="A60" s="1">
        <f t="shared" si="9"/>
        <v>5.899999999999995</v>
      </c>
      <c r="B60" s="1">
        <v>76.900000000000006</v>
      </c>
      <c r="C60" s="1">
        <v>11.8</v>
      </c>
      <c r="F60" s="1">
        <f t="shared" si="1"/>
        <v>5.899999999999995</v>
      </c>
      <c r="G60" s="1">
        <f t="shared" si="10"/>
        <v>2.0859650045003133</v>
      </c>
      <c r="H60" s="1">
        <f t="shared" si="2"/>
        <v>76.900000000000006</v>
      </c>
      <c r="I60" s="1">
        <f t="shared" si="3"/>
        <v>77.095508474576278</v>
      </c>
      <c r="J60" s="1">
        <f t="shared" si="4"/>
        <v>2.2821698698431261</v>
      </c>
      <c r="K60" s="1">
        <v>2.2821698698431261</v>
      </c>
      <c r="L60" s="1">
        <v>2.2821698698431261</v>
      </c>
      <c r="P60" s="1">
        <f t="shared" si="7"/>
        <v>2.0859650045003133</v>
      </c>
      <c r="Q60" s="8">
        <f t="shared" si="8"/>
        <v>0.3632186157609209</v>
      </c>
    </row>
    <row r="61" spans="1:20">
      <c r="A61" s="1">
        <f t="shared" si="9"/>
        <v>5.9999999999999947</v>
      </c>
      <c r="B61" s="1">
        <v>74.87</v>
      </c>
      <c r="C61" s="1">
        <v>11.79</v>
      </c>
      <c r="F61" s="1">
        <f t="shared" si="1"/>
        <v>5.9999999999999947</v>
      </c>
      <c r="G61" s="1">
        <f t="shared" si="10"/>
        <v>2.1213203435596406</v>
      </c>
      <c r="H61" s="1">
        <f t="shared" si="2"/>
        <v>74.87</v>
      </c>
      <c r="I61" s="1">
        <f t="shared" si="3"/>
        <v>75.1240118744699</v>
      </c>
      <c r="J61" s="1">
        <f t="shared" si="4"/>
        <v>2.2276235033421106</v>
      </c>
      <c r="K61" s="1">
        <v>2.2276235033421106</v>
      </c>
      <c r="L61" s="1">
        <v>2.2276235033421106</v>
      </c>
      <c r="P61" s="1">
        <f t="shared" si="7"/>
        <v>2.1213203435596406</v>
      </c>
      <c r="Q61" s="8">
        <f t="shared" si="8"/>
        <v>0.35453729190458216</v>
      </c>
    </row>
    <row r="62" spans="1:20">
      <c r="A62" s="1">
        <f t="shared" si="9"/>
        <v>6.0999999999999943</v>
      </c>
      <c r="B62" s="1">
        <v>72.84</v>
      </c>
      <c r="C62" s="1">
        <v>11.79</v>
      </c>
      <c r="F62" s="1">
        <f t="shared" si="1"/>
        <v>6.0999999999999943</v>
      </c>
      <c r="G62" s="1">
        <f t="shared" si="10"/>
        <v>2.1566756826189679</v>
      </c>
      <c r="H62" s="1">
        <f t="shared" si="2"/>
        <v>72.84</v>
      </c>
      <c r="I62" s="1">
        <f t="shared" si="3"/>
        <v>73.087124681933858</v>
      </c>
      <c r="J62" s="1">
        <f t="shared" si="4"/>
        <v>2.1735800645127545</v>
      </c>
      <c r="K62" s="1">
        <v>2.1735800645127545</v>
      </c>
      <c r="L62" s="1">
        <v>2.1735800645127545</v>
      </c>
      <c r="P62" s="1">
        <f t="shared" si="7"/>
        <v>2.1566756826189679</v>
      </c>
      <c r="Q62" s="8">
        <f t="shared" si="8"/>
        <v>0.34593601147320563</v>
      </c>
    </row>
    <row r="63" spans="1:20">
      <c r="A63" s="1">
        <f t="shared" si="9"/>
        <v>6.199999999999994</v>
      </c>
      <c r="B63" s="1">
        <v>70.900000000000006</v>
      </c>
      <c r="C63" s="1">
        <v>11.79</v>
      </c>
      <c r="F63" s="1">
        <f t="shared" si="1"/>
        <v>6.199999999999994</v>
      </c>
      <c r="G63" s="1">
        <f t="shared" si="10"/>
        <v>2.1920310216782952</v>
      </c>
      <c r="H63" s="1">
        <f t="shared" si="2"/>
        <v>70.900000000000006</v>
      </c>
      <c r="I63" s="1">
        <f t="shared" si="3"/>
        <v>71.140542832909262</v>
      </c>
      <c r="J63" s="1">
        <f t="shared" si="4"/>
        <v>2.1237516420634015</v>
      </c>
      <c r="K63" s="1">
        <v>2.1237516420634015</v>
      </c>
      <c r="L63" s="1">
        <v>2.1237516420634015</v>
      </c>
      <c r="P63" s="1">
        <f t="shared" si="7"/>
        <v>2.1920310216782952</v>
      </c>
      <c r="Q63" s="8">
        <f t="shared" si="8"/>
        <v>0.33800557173391993</v>
      </c>
    </row>
    <row r="64" spans="1:20">
      <c r="A64" s="1">
        <f t="shared" si="9"/>
        <v>6.2999999999999936</v>
      </c>
      <c r="B64" s="1">
        <v>69.08</v>
      </c>
      <c r="C64" s="1">
        <v>11.79</v>
      </c>
      <c r="F64" s="1">
        <f t="shared" si="1"/>
        <v>6.2999999999999936</v>
      </c>
      <c r="G64" s="1">
        <f t="shared" si="10"/>
        <v>2.2273863607376221</v>
      </c>
      <c r="H64" s="1">
        <f t="shared" si="2"/>
        <v>69.08</v>
      </c>
      <c r="I64" s="1">
        <f t="shared" si="3"/>
        <v>69.314368108566583</v>
      </c>
      <c r="J64" s="1">
        <f t="shared" si="4"/>
        <v>2.0783634089315011</v>
      </c>
      <c r="K64" s="1">
        <v>2.0783634089315011</v>
      </c>
      <c r="L64" s="1">
        <v>2.0783634089315011</v>
      </c>
      <c r="P64" s="1">
        <f t="shared" si="7"/>
        <v>2.2273863607376221</v>
      </c>
      <c r="Q64" s="8">
        <f t="shared" si="8"/>
        <v>0.33078181007277063</v>
      </c>
    </row>
    <row r="65" spans="1:17">
      <c r="A65" s="1">
        <f t="shared" si="9"/>
        <v>6.3999999999999932</v>
      </c>
      <c r="B65" s="1">
        <v>67.28</v>
      </c>
      <c r="C65" s="1">
        <v>11.79</v>
      </c>
      <c r="F65" s="1">
        <f t="shared" si="1"/>
        <v>6.3999999999999932</v>
      </c>
      <c r="G65" s="1">
        <f t="shared" si="10"/>
        <v>2.2627416997969494</v>
      </c>
      <c r="H65" s="1">
        <f t="shared" si="2"/>
        <v>67.28</v>
      </c>
      <c r="I65" s="1">
        <f t="shared" si="3"/>
        <v>67.508261238337582</v>
      </c>
      <c r="J65" s="1">
        <f t="shared" si="4"/>
        <v>2.034574974848649</v>
      </c>
      <c r="K65" s="1">
        <v>2.034574974848649</v>
      </c>
      <c r="L65" s="1">
        <v>2.034574974848649</v>
      </c>
      <c r="P65" s="1">
        <f t="shared" si="7"/>
        <v>2.2627416997969494</v>
      </c>
      <c r="Q65" s="8">
        <f t="shared" si="8"/>
        <v>0.32381266433823114</v>
      </c>
    </row>
    <row r="66" spans="1:17">
      <c r="A66" s="1">
        <f t="shared" si="9"/>
        <v>6.4999999999999929</v>
      </c>
      <c r="B66" s="1">
        <v>65.489999999999995</v>
      </c>
      <c r="C66" s="1">
        <v>11.79</v>
      </c>
      <c r="F66" s="1">
        <f t="shared" si="1"/>
        <v>6.4999999999999929</v>
      </c>
      <c r="G66" s="1">
        <f t="shared" ref="G66:G97" si="11">F66/2/SQRT(2)</f>
        <v>2.2980970388562767</v>
      </c>
      <c r="H66" s="1">
        <f t="shared" si="2"/>
        <v>65.489999999999995</v>
      </c>
      <c r="I66" s="1">
        <f t="shared" si="3"/>
        <v>65.71218829516539</v>
      </c>
      <c r="J66" s="1">
        <f t="shared" si="4"/>
        <v>1.9919616559581024</v>
      </c>
      <c r="K66" s="1">
        <v>1.9919616559581024</v>
      </c>
      <c r="L66" s="1">
        <v>1.9919616559581024</v>
      </c>
      <c r="P66" s="1">
        <f t="shared" si="7"/>
        <v>2.2980970388562767</v>
      </c>
      <c r="Q66" s="8">
        <f t="shared" si="8"/>
        <v>0.31703054399524938</v>
      </c>
    </row>
    <row r="67" spans="1:17">
      <c r="A67" s="1">
        <f>A66+0.1</f>
        <v>6.5999999999999925</v>
      </c>
      <c r="B67" s="1">
        <v>63.85</v>
      </c>
      <c r="C67" s="1">
        <v>11.79</v>
      </c>
      <c r="F67" s="1">
        <f t="shared" ref="F67:F113" si="12">A67</f>
        <v>6.5999999999999925</v>
      </c>
      <c r="G67" s="1">
        <f t="shared" si="11"/>
        <v>2.333452377915604</v>
      </c>
      <c r="H67" s="1">
        <f t="shared" ref="H67:H113" si="13">B67</f>
        <v>63.85</v>
      </c>
      <c r="I67" s="1">
        <f t="shared" ref="I67:I113" si="14">H67*MAX(C$2:C$113)/C67</f>
        <v>64.066624257845632</v>
      </c>
      <c r="J67" s="1">
        <f t="shared" ref="J67:J113" si="15">ACOS(1-2*(I67/MAX(I$3:I$111)))</f>
        <v>1.9536234806269206</v>
      </c>
      <c r="K67" s="1">
        <v>1.9536234806269206</v>
      </c>
      <c r="L67" s="1">
        <v>1.9536234806269206</v>
      </c>
      <c r="P67" s="1">
        <f t="shared" ref="P67:P113" si="16">F67/2/SQRT(2)</f>
        <v>2.333452377915604</v>
      </c>
      <c r="Q67" s="8">
        <f t="shared" ref="Q67:Q113" si="17">L67/2/PI()</f>
        <v>0.31092883388216808</v>
      </c>
    </row>
    <row r="68" spans="1:17">
      <c r="A68" s="1">
        <f t="shared" ref="A68:A81" si="18">A67+0.1</f>
        <v>6.6999999999999922</v>
      </c>
      <c r="B68" s="1">
        <v>62.19</v>
      </c>
      <c r="C68" s="1">
        <v>11.79</v>
      </c>
      <c r="F68" s="1">
        <f t="shared" si="12"/>
        <v>6.6999999999999922</v>
      </c>
      <c r="G68" s="1">
        <f t="shared" si="11"/>
        <v>2.3688077169749313</v>
      </c>
      <c r="H68" s="1">
        <f t="shared" si="13"/>
        <v>62.19</v>
      </c>
      <c r="I68" s="1">
        <f t="shared" si="14"/>
        <v>62.400992366412211</v>
      </c>
      <c r="J68" s="1">
        <f t="shared" si="15"/>
        <v>1.9154114526125927</v>
      </c>
      <c r="K68" s="1">
        <v>1.9154114526125927</v>
      </c>
      <c r="L68" s="1">
        <v>1.9154114526125927</v>
      </c>
      <c r="P68" s="1">
        <f t="shared" si="16"/>
        <v>2.3688077169749313</v>
      </c>
      <c r="Q68" s="8">
        <f t="shared" si="17"/>
        <v>0.30484720073812177</v>
      </c>
    </row>
    <row r="69" spans="1:17">
      <c r="A69" s="1">
        <f t="shared" si="18"/>
        <v>6.7999999999999918</v>
      </c>
      <c r="B69" s="1">
        <v>60.65</v>
      </c>
      <c r="C69" s="1">
        <v>11.79</v>
      </c>
      <c r="F69" s="1">
        <f t="shared" si="12"/>
        <v>6.7999999999999918</v>
      </c>
      <c r="G69" s="1">
        <f t="shared" si="11"/>
        <v>2.4041630560342586</v>
      </c>
      <c r="H69" s="1">
        <f t="shared" si="13"/>
        <v>60.65</v>
      </c>
      <c r="I69" s="1">
        <f t="shared" si="14"/>
        <v>60.855767599660737</v>
      </c>
      <c r="J69" s="1">
        <f t="shared" si="15"/>
        <v>1.8804259548612947</v>
      </c>
      <c r="K69" s="1">
        <v>1.8804259548612947</v>
      </c>
      <c r="L69" s="1">
        <v>1.8804259548612947</v>
      </c>
      <c r="P69" s="1">
        <f t="shared" si="16"/>
        <v>2.4041630560342586</v>
      </c>
      <c r="Q69" s="8">
        <f t="shared" si="17"/>
        <v>0.29927908583447232</v>
      </c>
    </row>
    <row r="70" spans="1:17">
      <c r="A70" s="1">
        <f t="shared" si="18"/>
        <v>6.8999999999999915</v>
      </c>
      <c r="B70" s="1">
        <v>59.1</v>
      </c>
      <c r="C70" s="1">
        <v>11.79</v>
      </c>
      <c r="F70" s="1">
        <f t="shared" si="12"/>
        <v>6.8999999999999915</v>
      </c>
      <c r="G70" s="1">
        <f t="shared" si="11"/>
        <v>2.4395183950935859</v>
      </c>
      <c r="H70" s="1">
        <f t="shared" si="13"/>
        <v>59.1</v>
      </c>
      <c r="I70" s="1">
        <f t="shared" si="14"/>
        <v>59.300508905852425</v>
      </c>
      <c r="J70" s="1">
        <f t="shared" si="15"/>
        <v>1.8456044020350304</v>
      </c>
      <c r="K70" s="1">
        <v>1.8456044020350304</v>
      </c>
      <c r="L70" s="1">
        <v>1.8456044020350304</v>
      </c>
      <c r="P70" s="1">
        <f t="shared" si="16"/>
        <v>2.4395183950935859</v>
      </c>
      <c r="Q70" s="8">
        <f t="shared" si="17"/>
        <v>0.29373706357603679</v>
      </c>
    </row>
    <row r="71" spans="1:17">
      <c r="A71" s="1">
        <f t="shared" si="18"/>
        <v>6.9999999999999911</v>
      </c>
      <c r="B71" s="1">
        <v>57.62</v>
      </c>
      <c r="C71" s="1">
        <v>11.79</v>
      </c>
      <c r="F71" s="1">
        <f t="shared" si="12"/>
        <v>6.9999999999999911</v>
      </c>
      <c r="G71" s="1">
        <f t="shared" si="11"/>
        <v>2.4748737341529132</v>
      </c>
      <c r="H71" s="1">
        <f t="shared" si="13"/>
        <v>57.62</v>
      </c>
      <c r="I71" s="1">
        <f t="shared" si="14"/>
        <v>57.815487701441903</v>
      </c>
      <c r="J71" s="1">
        <f t="shared" si="15"/>
        <v>1.812672271194725</v>
      </c>
      <c r="K71" s="1">
        <v>1.812672271194725</v>
      </c>
      <c r="L71" s="1">
        <v>1.812672271194725</v>
      </c>
      <c r="P71" s="1">
        <f t="shared" si="16"/>
        <v>2.4748737341529132</v>
      </c>
      <c r="Q71" s="8">
        <f t="shared" si="17"/>
        <v>0.28849575216625312</v>
      </c>
    </row>
    <row r="72" spans="1:17">
      <c r="A72" s="1">
        <f t="shared" si="18"/>
        <v>7.0999999999999908</v>
      </c>
      <c r="B72" s="1">
        <v>56.19</v>
      </c>
      <c r="C72" s="1">
        <v>11.79</v>
      </c>
      <c r="F72" s="1">
        <f t="shared" si="12"/>
        <v>7.0999999999999908</v>
      </c>
      <c r="G72" s="1">
        <f t="shared" si="11"/>
        <v>2.5102290732122401</v>
      </c>
      <c r="H72" s="1">
        <f t="shared" si="13"/>
        <v>56.19</v>
      </c>
      <c r="I72" s="1">
        <f t="shared" si="14"/>
        <v>56.38063613231553</v>
      </c>
      <c r="J72" s="1">
        <f t="shared" si="15"/>
        <v>1.7811053765420879</v>
      </c>
      <c r="K72" s="1">
        <v>1.7811053765420879</v>
      </c>
      <c r="L72" s="1">
        <v>1.7811053765420879</v>
      </c>
      <c r="P72" s="1">
        <f t="shared" si="16"/>
        <v>2.5102290732122401</v>
      </c>
      <c r="Q72" s="8">
        <f t="shared" si="17"/>
        <v>0.28347172484422484</v>
      </c>
    </row>
    <row r="73" spans="1:17">
      <c r="A73" s="1">
        <f t="shared" si="18"/>
        <v>7.1999999999999904</v>
      </c>
      <c r="B73" s="1">
        <v>54.79</v>
      </c>
      <c r="C73" s="1">
        <v>11.79</v>
      </c>
      <c r="F73" s="1">
        <f t="shared" si="12"/>
        <v>7.1999999999999904</v>
      </c>
      <c r="G73" s="1">
        <f t="shared" si="11"/>
        <v>2.5455844122715674</v>
      </c>
      <c r="H73" s="1">
        <f t="shared" si="13"/>
        <v>54.79</v>
      </c>
      <c r="I73" s="1">
        <f t="shared" si="14"/>
        <v>54.97588634435963</v>
      </c>
      <c r="J73" s="1">
        <f t="shared" si="15"/>
        <v>1.7504057350794369</v>
      </c>
      <c r="K73" s="1">
        <v>1.7504057350794369</v>
      </c>
      <c r="L73" s="1">
        <v>1.7504057350794369</v>
      </c>
      <c r="P73" s="1">
        <f t="shared" si="16"/>
        <v>2.5455844122715674</v>
      </c>
      <c r="Q73" s="8">
        <f t="shared" si="17"/>
        <v>0.27858572515429503</v>
      </c>
    </row>
    <row r="74" spans="1:17">
      <c r="A74" s="1">
        <f t="shared" si="18"/>
        <v>7.2999999999999901</v>
      </c>
      <c r="B74" s="1">
        <v>53.47</v>
      </c>
      <c r="C74" s="1">
        <v>11.79</v>
      </c>
      <c r="F74" s="1">
        <f t="shared" si="12"/>
        <v>7.2999999999999901</v>
      </c>
      <c r="G74" s="1">
        <f t="shared" si="11"/>
        <v>2.5809397513308947</v>
      </c>
      <c r="H74" s="1">
        <f t="shared" si="13"/>
        <v>53.47</v>
      </c>
      <c r="I74" s="1">
        <f t="shared" si="14"/>
        <v>53.651407972858365</v>
      </c>
      <c r="J74" s="1">
        <f t="shared" si="15"/>
        <v>1.7216168292328462</v>
      </c>
      <c r="K74" s="1">
        <v>1.7216168292328462</v>
      </c>
      <c r="L74" s="1">
        <v>1.7216168292328462</v>
      </c>
      <c r="P74" s="1">
        <f t="shared" si="16"/>
        <v>2.5809397513308947</v>
      </c>
      <c r="Q74" s="8">
        <f t="shared" si="17"/>
        <v>0.27400382848260296</v>
      </c>
    </row>
    <row r="75" spans="1:17">
      <c r="A75" s="1">
        <f t="shared" si="18"/>
        <v>7.3999999999999897</v>
      </c>
      <c r="B75" s="1">
        <v>52.15</v>
      </c>
      <c r="C75" s="1">
        <v>11.79</v>
      </c>
      <c r="F75" s="1">
        <f t="shared" si="12"/>
        <v>7.3999999999999897</v>
      </c>
      <c r="G75" s="1">
        <f t="shared" si="11"/>
        <v>2.616295090390222</v>
      </c>
      <c r="H75" s="1">
        <f t="shared" si="13"/>
        <v>52.15</v>
      </c>
      <c r="I75" s="1">
        <f t="shared" si="14"/>
        <v>52.326929601357079</v>
      </c>
      <c r="J75" s="1">
        <f t="shared" si="15"/>
        <v>1.6929533755279957</v>
      </c>
      <c r="K75" s="1">
        <v>1.6929533755279957</v>
      </c>
      <c r="L75" s="1">
        <v>1.6929533755279957</v>
      </c>
      <c r="P75" s="1">
        <f t="shared" si="16"/>
        <v>2.616295090390222</v>
      </c>
      <c r="Q75" s="8">
        <f t="shared" si="17"/>
        <v>0.26944189813939029</v>
      </c>
    </row>
    <row r="76" spans="1:17">
      <c r="A76" s="1">
        <f t="shared" si="18"/>
        <v>7.4999999999999893</v>
      </c>
      <c r="B76" s="1">
        <v>50.96</v>
      </c>
      <c r="C76" s="1">
        <v>11.79</v>
      </c>
      <c r="F76" s="1">
        <f t="shared" si="12"/>
        <v>7.4999999999999893</v>
      </c>
      <c r="G76" s="1">
        <f t="shared" si="11"/>
        <v>2.6516504294495493</v>
      </c>
      <c r="H76" s="1">
        <f t="shared" si="13"/>
        <v>50.96</v>
      </c>
      <c r="I76" s="1">
        <f t="shared" si="14"/>
        <v>51.132892281594579</v>
      </c>
      <c r="J76" s="1">
        <f t="shared" si="15"/>
        <v>1.6671997029546477</v>
      </c>
      <c r="K76" s="1">
        <v>1.6671997029546477</v>
      </c>
      <c r="L76" s="1">
        <v>1.6671997029546477</v>
      </c>
      <c r="P76" s="1">
        <f t="shared" si="16"/>
        <v>2.6516504294495493</v>
      </c>
      <c r="Q76" s="8">
        <f t="shared" si="17"/>
        <v>0.2653430738465718</v>
      </c>
    </row>
    <row r="77" spans="1:17">
      <c r="A77" s="1">
        <f t="shared" si="18"/>
        <v>7.599999999999989</v>
      </c>
      <c r="B77" s="1">
        <v>49.8</v>
      </c>
      <c r="C77" s="1">
        <v>11.79</v>
      </c>
      <c r="F77" s="1">
        <f t="shared" si="12"/>
        <v>7.599999999999989</v>
      </c>
      <c r="G77" s="1">
        <f t="shared" si="11"/>
        <v>2.6870057685088766</v>
      </c>
      <c r="H77" s="1">
        <f t="shared" si="13"/>
        <v>49.8</v>
      </c>
      <c r="I77" s="1">
        <f t="shared" si="14"/>
        <v>49.968956743002551</v>
      </c>
      <c r="J77" s="1">
        <f t="shared" si="15"/>
        <v>1.6421570206666465</v>
      </c>
      <c r="K77" s="1">
        <v>1.6421570206666465</v>
      </c>
      <c r="L77" s="1">
        <v>1.6421570206666465</v>
      </c>
      <c r="P77" s="1">
        <f t="shared" si="16"/>
        <v>2.6870057685088766</v>
      </c>
      <c r="Q77" s="8">
        <f t="shared" si="17"/>
        <v>0.2613574071721565</v>
      </c>
    </row>
    <row r="78" spans="1:17">
      <c r="A78" s="1">
        <f t="shared" si="18"/>
        <v>7.6999999999999886</v>
      </c>
      <c r="B78" s="1">
        <v>48.59</v>
      </c>
      <c r="C78" s="1">
        <v>11.79</v>
      </c>
      <c r="F78" s="1">
        <f t="shared" si="12"/>
        <v>7.6999999999999886</v>
      </c>
      <c r="G78" s="1">
        <f t="shared" si="11"/>
        <v>2.7223611075682039</v>
      </c>
      <c r="H78" s="1">
        <f t="shared" si="13"/>
        <v>48.59</v>
      </c>
      <c r="I78" s="1">
        <f t="shared" si="14"/>
        <v>48.75485156912638</v>
      </c>
      <c r="J78" s="1">
        <f t="shared" si="15"/>
        <v>1.6160823660648274</v>
      </c>
      <c r="K78" s="1">
        <v>1.6160823660648274</v>
      </c>
      <c r="L78" s="1">
        <v>1.6160823660648274</v>
      </c>
      <c r="P78" s="1">
        <f t="shared" si="16"/>
        <v>2.7223611075682039</v>
      </c>
      <c r="Q78" s="8">
        <f t="shared" si="17"/>
        <v>0.25720749700286316</v>
      </c>
    </row>
    <row r="79" spans="1:17">
      <c r="A79" s="1">
        <f t="shared" si="18"/>
        <v>7.7999999999999883</v>
      </c>
      <c r="B79" s="1">
        <v>47.48</v>
      </c>
      <c r="C79" s="1">
        <v>11.79</v>
      </c>
      <c r="F79" s="1">
        <f t="shared" si="12"/>
        <v>7.7999999999999883</v>
      </c>
      <c r="G79" s="1">
        <f t="shared" si="11"/>
        <v>2.7577164466275308</v>
      </c>
      <c r="H79" s="1">
        <f t="shared" si="13"/>
        <v>47.48</v>
      </c>
      <c r="I79" s="1">
        <f t="shared" si="14"/>
        <v>47.641085665818494</v>
      </c>
      <c r="J79" s="1">
        <f t="shared" si="15"/>
        <v>1.5921901439334027</v>
      </c>
      <c r="K79" s="1">
        <v>1.5921901439334027</v>
      </c>
      <c r="L79" s="1">
        <v>1.5921901439334027</v>
      </c>
      <c r="P79" s="1">
        <f t="shared" si="16"/>
        <v>2.7577164466275308</v>
      </c>
      <c r="Q79" s="8">
        <f t="shared" si="17"/>
        <v>0.25340493174919737</v>
      </c>
    </row>
    <row r="80" spans="1:17">
      <c r="A80" s="1">
        <f t="shared" si="18"/>
        <v>7.8999999999999879</v>
      </c>
      <c r="B80" s="1">
        <v>46.38</v>
      </c>
      <c r="C80" s="1">
        <v>11.79</v>
      </c>
      <c r="F80" s="1">
        <f t="shared" si="12"/>
        <v>7.8999999999999879</v>
      </c>
      <c r="G80" s="1">
        <f t="shared" si="11"/>
        <v>2.7930717856868581</v>
      </c>
      <c r="H80" s="1">
        <f t="shared" si="13"/>
        <v>46.38</v>
      </c>
      <c r="I80" s="1">
        <f t="shared" si="14"/>
        <v>46.537353689567439</v>
      </c>
      <c r="J80" s="1">
        <f t="shared" si="15"/>
        <v>1.568525253856951</v>
      </c>
      <c r="K80" s="1">
        <v>1.568525253856951</v>
      </c>
      <c r="L80" s="1">
        <v>1.568525253856951</v>
      </c>
      <c r="P80" s="1">
        <f t="shared" si="16"/>
        <v>2.7930717856868581</v>
      </c>
      <c r="Q80" s="8">
        <f t="shared" si="17"/>
        <v>0.24963854751580372</v>
      </c>
    </row>
    <row r="81" spans="1:17">
      <c r="A81" s="1">
        <f t="shared" si="18"/>
        <v>7.9999999999999876</v>
      </c>
      <c r="B81" s="1">
        <v>45.29</v>
      </c>
      <c r="C81" s="1">
        <v>11.78</v>
      </c>
      <c r="F81" s="1">
        <f t="shared" si="12"/>
        <v>7.9999999999999876</v>
      </c>
      <c r="G81" s="1">
        <f t="shared" si="11"/>
        <v>2.8284271247461854</v>
      </c>
      <c r="H81" s="1">
        <f t="shared" si="13"/>
        <v>45.29</v>
      </c>
      <c r="I81" s="1">
        <f t="shared" si="14"/>
        <v>45.482232597623096</v>
      </c>
      <c r="J81" s="1">
        <f t="shared" si="15"/>
        <v>1.545901612301982</v>
      </c>
      <c r="K81" s="1">
        <v>1.545901612301982</v>
      </c>
      <c r="L81" s="1">
        <v>1.545901612301982</v>
      </c>
      <c r="P81" s="1">
        <f t="shared" si="16"/>
        <v>2.8284271247461854</v>
      </c>
      <c r="Q81" s="8">
        <f t="shared" si="17"/>
        <v>0.2460378831315912</v>
      </c>
    </row>
    <row r="82" spans="1:17">
      <c r="A82" s="1">
        <f>A81+0.1</f>
        <v>8.0999999999999872</v>
      </c>
      <c r="B82" s="1">
        <v>44.28</v>
      </c>
      <c r="C82" s="1">
        <v>11.78</v>
      </c>
      <c r="F82" s="1">
        <f t="shared" si="12"/>
        <v>8.0999999999999872</v>
      </c>
      <c r="G82" s="1">
        <f t="shared" si="11"/>
        <v>2.8637824638055127</v>
      </c>
      <c r="H82" s="1">
        <f t="shared" si="13"/>
        <v>44.28</v>
      </c>
      <c r="I82" s="1">
        <f t="shared" si="14"/>
        <v>44.46794567062819</v>
      </c>
      <c r="J82" s="1">
        <f t="shared" si="15"/>
        <v>1.5241416445346343</v>
      </c>
      <c r="K82" s="1">
        <v>1.5241416445346343</v>
      </c>
      <c r="L82" s="1">
        <v>1.5241416445346343</v>
      </c>
      <c r="P82" s="1">
        <f t="shared" si="16"/>
        <v>2.8637824638055127</v>
      </c>
      <c r="Q82" s="8">
        <f t="shared" si="17"/>
        <v>0.24257467669989749</v>
      </c>
    </row>
    <row r="83" spans="1:17">
      <c r="A83" s="1">
        <f t="shared" ref="A83:A91" si="19">A82+0.1</f>
        <v>8.1999999999999869</v>
      </c>
      <c r="B83" s="1">
        <v>43.25</v>
      </c>
      <c r="C83" s="1">
        <v>11.78</v>
      </c>
      <c r="F83" s="1">
        <f t="shared" si="12"/>
        <v>8.1999999999999869</v>
      </c>
      <c r="G83" s="1">
        <f t="shared" si="11"/>
        <v>2.89913780286484</v>
      </c>
      <c r="H83" s="1">
        <f t="shared" si="13"/>
        <v>43.25</v>
      </c>
      <c r="I83" s="1">
        <f t="shared" si="14"/>
        <v>43.433573853989813</v>
      </c>
      <c r="J83" s="1">
        <f t="shared" si="15"/>
        <v>1.5019279200276658</v>
      </c>
      <c r="K83" s="1">
        <v>1.5019279200276658</v>
      </c>
      <c r="L83" s="1">
        <v>1.5019279200276658</v>
      </c>
      <c r="P83" s="1">
        <f t="shared" si="16"/>
        <v>2.89913780286484</v>
      </c>
      <c r="Q83" s="8">
        <f t="shared" si="17"/>
        <v>0.2390392526401319</v>
      </c>
    </row>
    <row r="84" spans="1:17">
      <c r="A84" s="1">
        <f t="shared" si="19"/>
        <v>8.2999999999999865</v>
      </c>
      <c r="B84" s="1">
        <v>42.27</v>
      </c>
      <c r="C84" s="1">
        <v>11.78</v>
      </c>
      <c r="F84" s="1">
        <f t="shared" si="12"/>
        <v>8.2999999999999865</v>
      </c>
      <c r="G84" s="1">
        <f t="shared" si="11"/>
        <v>2.9344931419241673</v>
      </c>
      <c r="H84" s="1">
        <f t="shared" si="13"/>
        <v>42.27</v>
      </c>
      <c r="I84" s="1">
        <f t="shared" si="14"/>
        <v>42.449414261460106</v>
      </c>
      <c r="J84" s="1">
        <f t="shared" si="15"/>
        <v>1.4807610459797014</v>
      </c>
      <c r="K84" s="1">
        <v>1.4807610459797014</v>
      </c>
      <c r="L84" s="1">
        <v>1.4807610459797014</v>
      </c>
      <c r="P84" s="1">
        <f t="shared" si="16"/>
        <v>2.9344931419241673</v>
      </c>
      <c r="Q84" s="8">
        <f t="shared" si="17"/>
        <v>0.23567044000559478</v>
      </c>
    </row>
    <row r="85" spans="1:17">
      <c r="A85" s="1">
        <f t="shared" si="19"/>
        <v>8.3999999999999861</v>
      </c>
      <c r="B85" s="1">
        <v>41.34</v>
      </c>
      <c r="C85" s="1">
        <v>11.78</v>
      </c>
      <c r="F85" s="1">
        <f t="shared" si="12"/>
        <v>8.3999999999999861</v>
      </c>
      <c r="G85" s="1">
        <f t="shared" si="11"/>
        <v>2.9698484809834946</v>
      </c>
      <c r="H85" s="1">
        <f t="shared" si="13"/>
        <v>41.34</v>
      </c>
      <c r="I85" s="1">
        <f t="shared" si="14"/>
        <v>41.515466893039054</v>
      </c>
      <c r="J85" s="1">
        <f t="shared" si="15"/>
        <v>1.4606367841063992</v>
      </c>
      <c r="K85" s="1">
        <v>1.4606367841063992</v>
      </c>
      <c r="L85" s="1">
        <v>1.4606367841063992</v>
      </c>
      <c r="P85" s="1">
        <f t="shared" si="16"/>
        <v>2.9698484809834946</v>
      </c>
      <c r="Q85" s="8">
        <f t="shared" si="17"/>
        <v>0.23246756425238299</v>
      </c>
    </row>
    <row r="86" spans="1:17">
      <c r="A86" s="1">
        <f t="shared" si="19"/>
        <v>8.4999999999999858</v>
      </c>
      <c r="B86" s="1">
        <v>40.44</v>
      </c>
      <c r="C86" s="1">
        <v>11.78</v>
      </c>
      <c r="F86" s="1">
        <f t="shared" si="12"/>
        <v>8.4999999999999858</v>
      </c>
      <c r="G86" s="1">
        <f t="shared" si="11"/>
        <v>3.0052038200428219</v>
      </c>
      <c r="H86" s="1">
        <f t="shared" si="13"/>
        <v>40.44</v>
      </c>
      <c r="I86" s="1">
        <f t="shared" si="14"/>
        <v>40.611646859083194</v>
      </c>
      <c r="J86" s="1">
        <f t="shared" si="15"/>
        <v>1.4411190264533136</v>
      </c>
      <c r="K86" s="1">
        <v>1.4411190264533136</v>
      </c>
      <c r="L86" s="1">
        <v>1.4411190264533136</v>
      </c>
      <c r="P86" s="1">
        <f t="shared" si="16"/>
        <v>3.0052038200428219</v>
      </c>
      <c r="Q86" s="8">
        <f t="shared" si="17"/>
        <v>0.22936121664382475</v>
      </c>
    </row>
    <row r="87" spans="1:17">
      <c r="A87" s="1">
        <f t="shared" si="19"/>
        <v>8.5999999999999854</v>
      </c>
      <c r="B87" s="1">
        <v>39.57</v>
      </c>
      <c r="C87" s="1">
        <v>11.78</v>
      </c>
      <c r="F87" s="1">
        <f t="shared" si="12"/>
        <v>8.5999999999999854</v>
      </c>
      <c r="G87" s="1">
        <f t="shared" si="11"/>
        <v>3.0405591591021488</v>
      </c>
      <c r="H87" s="1">
        <f t="shared" si="13"/>
        <v>39.57</v>
      </c>
      <c r="I87" s="1">
        <f t="shared" si="14"/>
        <v>39.737954159592533</v>
      </c>
      <c r="J87" s="1">
        <f t="shared" si="15"/>
        <v>1.4222045937270715</v>
      </c>
      <c r="K87" s="1">
        <v>1.4222045937270715</v>
      </c>
      <c r="L87" s="1">
        <v>1.4222045937270715</v>
      </c>
      <c r="P87" s="1">
        <f t="shared" si="16"/>
        <v>3.0405591591021488</v>
      </c>
      <c r="Q87" s="8">
        <f t="shared" si="17"/>
        <v>0.2263508911796642</v>
      </c>
    </row>
    <row r="88" spans="1:17">
      <c r="A88" s="1">
        <f t="shared" si="19"/>
        <v>8.6999999999999851</v>
      </c>
      <c r="B88" s="1">
        <v>38.72</v>
      </c>
      <c r="C88" s="1">
        <v>11.78</v>
      </c>
      <c r="F88" s="1">
        <f t="shared" si="12"/>
        <v>8.6999999999999851</v>
      </c>
      <c r="G88" s="1">
        <f t="shared" si="11"/>
        <v>3.0759144981614761</v>
      </c>
      <c r="H88" s="1">
        <f t="shared" si="13"/>
        <v>38.72</v>
      </c>
      <c r="I88" s="1">
        <f t="shared" si="14"/>
        <v>38.884346349745329</v>
      </c>
      <c r="J88" s="1">
        <f t="shared" si="15"/>
        <v>1.4036731529739552</v>
      </c>
      <c r="K88" s="1">
        <v>1.4036731529739552</v>
      </c>
      <c r="L88" s="1">
        <v>1.4036731529739552</v>
      </c>
      <c r="P88" s="1">
        <f t="shared" si="16"/>
        <v>3.0759144981614761</v>
      </c>
      <c r="Q88" s="8">
        <f t="shared" si="17"/>
        <v>0.22340152078119116</v>
      </c>
    </row>
    <row r="89" spans="1:17">
      <c r="A89" s="1">
        <f t="shared" si="19"/>
        <v>8.7999999999999847</v>
      </c>
      <c r="B89" s="1">
        <v>37.86</v>
      </c>
      <c r="C89" s="1">
        <v>11.78</v>
      </c>
      <c r="F89" s="1">
        <f t="shared" si="12"/>
        <v>8.7999999999999847</v>
      </c>
      <c r="G89" s="1">
        <f t="shared" si="11"/>
        <v>3.1112698372208034</v>
      </c>
      <c r="H89" s="1">
        <f t="shared" si="13"/>
        <v>37.86</v>
      </c>
      <c r="I89" s="1">
        <f t="shared" si="14"/>
        <v>38.020696095076403</v>
      </c>
      <c r="J89" s="1">
        <f t="shared" si="15"/>
        <v>1.3848645144681631</v>
      </c>
      <c r="K89" s="1">
        <v>1.3848645144681631</v>
      </c>
      <c r="L89" s="1">
        <v>1.3848645144681631</v>
      </c>
      <c r="P89" s="1">
        <f t="shared" si="16"/>
        <v>3.1112698372208034</v>
      </c>
      <c r="Q89" s="8">
        <f t="shared" si="17"/>
        <v>0.22040803299016576</v>
      </c>
    </row>
    <row r="90" spans="1:17">
      <c r="A90" s="1">
        <f t="shared" si="19"/>
        <v>8.8999999999999844</v>
      </c>
      <c r="B90" s="1">
        <v>37.08</v>
      </c>
      <c r="C90" s="1">
        <v>11.78</v>
      </c>
      <c r="F90" s="1">
        <f t="shared" si="12"/>
        <v>8.8999999999999844</v>
      </c>
      <c r="G90" s="1">
        <f t="shared" si="11"/>
        <v>3.1466251762801307</v>
      </c>
      <c r="H90" s="1">
        <f t="shared" si="13"/>
        <v>37.08</v>
      </c>
      <c r="I90" s="1">
        <f t="shared" si="14"/>
        <v>37.237385398981324</v>
      </c>
      <c r="J90" s="1">
        <f t="shared" si="15"/>
        <v>1.3677479559610104</v>
      </c>
      <c r="K90" s="1">
        <v>1.3677479559610104</v>
      </c>
      <c r="L90" s="1">
        <v>1.3677479559610104</v>
      </c>
      <c r="P90" s="1">
        <f t="shared" si="16"/>
        <v>3.1466251762801307</v>
      </c>
      <c r="Q90" s="8">
        <f t="shared" si="17"/>
        <v>0.21768384809503077</v>
      </c>
    </row>
    <row r="91" spans="1:17">
      <c r="A91" s="1">
        <f t="shared" si="19"/>
        <v>8.999999999999984</v>
      </c>
      <c r="B91" s="1">
        <v>36.92</v>
      </c>
      <c r="C91" s="1">
        <v>11.78</v>
      </c>
      <c r="F91" s="1">
        <f t="shared" si="12"/>
        <v>8.999999999999984</v>
      </c>
      <c r="G91" s="1">
        <f t="shared" si="11"/>
        <v>3.181980515339458</v>
      </c>
      <c r="H91" s="1">
        <f t="shared" si="13"/>
        <v>36.92</v>
      </c>
      <c r="I91" s="1">
        <f t="shared" si="14"/>
        <v>37.076706281833616</v>
      </c>
      <c r="J91" s="1">
        <f t="shared" si="15"/>
        <v>1.3642295704059848</v>
      </c>
      <c r="K91" s="1">
        <v>1.3642295704059848</v>
      </c>
      <c r="L91" s="1">
        <v>1.3642295704059848</v>
      </c>
      <c r="P91" s="1">
        <f t="shared" si="16"/>
        <v>3.181980515339458</v>
      </c>
      <c r="Q91" s="8">
        <f t="shared" si="17"/>
        <v>0.21712387964224533</v>
      </c>
    </row>
    <row r="92" spans="1:17">
      <c r="A92" s="1">
        <f>A91+0.5</f>
        <v>9.499999999999984</v>
      </c>
      <c r="B92" s="1">
        <v>32.69</v>
      </c>
      <c r="C92" s="1">
        <v>11.78</v>
      </c>
      <c r="F92" s="1">
        <f t="shared" si="12"/>
        <v>9.499999999999984</v>
      </c>
      <c r="G92" s="1">
        <f t="shared" si="11"/>
        <v>3.358757210636095</v>
      </c>
      <c r="H92" s="1">
        <f t="shared" si="13"/>
        <v>32.69</v>
      </c>
      <c r="I92" s="1">
        <f t="shared" si="14"/>
        <v>32.828752122241085</v>
      </c>
      <c r="J92" s="1">
        <f t="shared" si="15"/>
        <v>1.2701118095253716</v>
      </c>
      <c r="K92" s="1">
        <v>1.2701118095253716</v>
      </c>
      <c r="L92" s="1">
        <v>1.2701118095253716</v>
      </c>
      <c r="P92" s="1">
        <f t="shared" si="16"/>
        <v>3.358757210636095</v>
      </c>
      <c r="Q92" s="8">
        <f t="shared" si="17"/>
        <v>0.20214457276535475</v>
      </c>
    </row>
    <row r="93" spans="1:17">
      <c r="A93" s="1">
        <f t="shared" ref="A93:A111" si="20">A92+0.5</f>
        <v>9.999999999999984</v>
      </c>
      <c r="B93" s="1">
        <v>29.56</v>
      </c>
      <c r="C93" s="1">
        <v>11.78</v>
      </c>
      <c r="F93" s="1">
        <f t="shared" si="12"/>
        <v>9.999999999999984</v>
      </c>
      <c r="G93" s="1">
        <f t="shared" si="11"/>
        <v>3.5355339059327315</v>
      </c>
      <c r="H93" s="1">
        <f t="shared" si="13"/>
        <v>29.56</v>
      </c>
      <c r="I93" s="1">
        <f t="shared" si="14"/>
        <v>29.685466893039049</v>
      </c>
      <c r="J93" s="1">
        <f t="shared" si="15"/>
        <v>1.1987055161536744</v>
      </c>
      <c r="K93" s="1">
        <v>1.1987055161536744</v>
      </c>
      <c r="L93" s="1">
        <v>1.1987055161536744</v>
      </c>
      <c r="P93" s="1">
        <f t="shared" si="16"/>
        <v>3.5355339059327315</v>
      </c>
      <c r="Q93" s="8">
        <f t="shared" si="17"/>
        <v>0.19077990820737908</v>
      </c>
    </row>
    <row r="94" spans="1:17">
      <c r="A94" s="1">
        <f t="shared" si="20"/>
        <v>10.499999999999984</v>
      </c>
      <c r="B94" s="1">
        <v>26.89</v>
      </c>
      <c r="C94" s="1">
        <v>11.78</v>
      </c>
      <c r="F94" s="1">
        <f t="shared" si="12"/>
        <v>10.499999999999984</v>
      </c>
      <c r="G94" s="1">
        <f t="shared" si="11"/>
        <v>3.7123106012293685</v>
      </c>
      <c r="H94" s="1">
        <f t="shared" si="13"/>
        <v>26.89</v>
      </c>
      <c r="I94" s="1">
        <f t="shared" si="14"/>
        <v>27.004134125636675</v>
      </c>
      <c r="J94" s="1">
        <f t="shared" si="15"/>
        <v>1.1361938185998475</v>
      </c>
      <c r="K94" s="1">
        <v>1.1361938185998475</v>
      </c>
      <c r="L94" s="1">
        <v>1.1361938185998475</v>
      </c>
      <c r="P94" s="1">
        <f t="shared" si="16"/>
        <v>3.7123106012293685</v>
      </c>
      <c r="Q94" s="8">
        <f t="shared" si="17"/>
        <v>0.18083086254062197</v>
      </c>
    </row>
    <row r="95" spans="1:17">
      <c r="A95" s="1">
        <f t="shared" si="20"/>
        <v>10.999999999999984</v>
      </c>
      <c r="B95" s="1">
        <v>24.54</v>
      </c>
      <c r="C95" s="1">
        <v>11.78</v>
      </c>
      <c r="F95" s="1">
        <f t="shared" si="12"/>
        <v>10.999999999999984</v>
      </c>
      <c r="G95" s="1">
        <f t="shared" si="11"/>
        <v>3.8890872965260055</v>
      </c>
      <c r="H95" s="1">
        <f t="shared" si="13"/>
        <v>24.54</v>
      </c>
      <c r="I95" s="1">
        <f t="shared" si="14"/>
        <v>24.644159592529714</v>
      </c>
      <c r="J95" s="1">
        <f t="shared" si="15"/>
        <v>1.0796396702077975</v>
      </c>
      <c r="K95" s="1">
        <v>1.0796396702077975</v>
      </c>
      <c r="L95" s="1">
        <v>1.0796396702077975</v>
      </c>
      <c r="P95" s="1">
        <f t="shared" si="16"/>
        <v>3.8890872965260055</v>
      </c>
      <c r="Q95" s="8">
        <f t="shared" si="17"/>
        <v>0.17182999027167467</v>
      </c>
    </row>
    <row r="96" spans="1:17">
      <c r="A96" s="1">
        <f t="shared" si="20"/>
        <v>11.499999999999984</v>
      </c>
      <c r="B96" s="1">
        <v>22.46</v>
      </c>
      <c r="C96" s="1">
        <v>11.78</v>
      </c>
      <c r="F96" s="1">
        <f t="shared" si="12"/>
        <v>11.499999999999984</v>
      </c>
      <c r="G96" s="1">
        <f t="shared" si="11"/>
        <v>4.065863991822642</v>
      </c>
      <c r="H96" s="1">
        <f t="shared" si="13"/>
        <v>22.46</v>
      </c>
      <c r="I96" s="1">
        <f t="shared" si="14"/>
        <v>22.555331069609508</v>
      </c>
      <c r="J96" s="1">
        <f t="shared" si="15"/>
        <v>1.0281205569353875</v>
      </c>
      <c r="K96" s="1">
        <v>1.0281205569353875</v>
      </c>
      <c r="L96" s="1">
        <v>1.0281205569353875</v>
      </c>
      <c r="P96" s="1">
        <f t="shared" si="16"/>
        <v>4.065863991822642</v>
      </c>
      <c r="Q96" s="8">
        <f t="shared" si="17"/>
        <v>0.16363046873065934</v>
      </c>
    </row>
    <row r="97" spans="1:17">
      <c r="A97" s="1">
        <f t="shared" si="20"/>
        <v>11.999999999999984</v>
      </c>
      <c r="B97" s="1">
        <v>20.66</v>
      </c>
      <c r="C97" s="1">
        <v>11.78</v>
      </c>
      <c r="F97" s="1">
        <f t="shared" si="12"/>
        <v>11.999999999999984</v>
      </c>
      <c r="G97" s="1">
        <f t="shared" si="11"/>
        <v>4.2426406871192794</v>
      </c>
      <c r="H97" s="1">
        <f t="shared" si="13"/>
        <v>20.66</v>
      </c>
      <c r="I97" s="1">
        <f t="shared" si="14"/>
        <v>20.747691001697795</v>
      </c>
      <c r="J97" s="1">
        <f t="shared" si="15"/>
        <v>0.98221246082603131</v>
      </c>
      <c r="K97" s="1">
        <v>0.98221246082603131</v>
      </c>
      <c r="L97" s="1">
        <v>0.98221246082603131</v>
      </c>
      <c r="P97" s="1">
        <f t="shared" si="16"/>
        <v>4.2426406871192794</v>
      </c>
      <c r="Q97" s="8">
        <f t="shared" si="17"/>
        <v>0.1563239683069175</v>
      </c>
    </row>
    <row r="98" spans="1:17">
      <c r="A98" s="1">
        <f t="shared" si="20"/>
        <v>12.499999999999984</v>
      </c>
      <c r="B98" s="1">
        <v>19.05</v>
      </c>
      <c r="C98" s="1">
        <v>11.78</v>
      </c>
      <c r="F98" s="1">
        <f t="shared" si="12"/>
        <v>12.499999999999984</v>
      </c>
      <c r="G98" s="1">
        <f t="shared" ref="G98:G111" si="21">F98/2/SQRT(2)</f>
        <v>4.419417382415916</v>
      </c>
      <c r="H98" s="1">
        <f t="shared" si="13"/>
        <v>19.05</v>
      </c>
      <c r="I98" s="1">
        <f t="shared" si="14"/>
        <v>19.130857385398983</v>
      </c>
      <c r="J98" s="1">
        <f t="shared" si="15"/>
        <v>0.93992629398770133</v>
      </c>
      <c r="K98" s="1">
        <v>0.93992629398770133</v>
      </c>
      <c r="L98" s="1">
        <v>0.93992629398770133</v>
      </c>
      <c r="P98" s="1">
        <f t="shared" si="16"/>
        <v>4.419417382415916</v>
      </c>
      <c r="Q98" s="8">
        <f t="shared" si="17"/>
        <v>0.14959391583018869</v>
      </c>
    </row>
    <row r="99" spans="1:17">
      <c r="A99" s="1">
        <f t="shared" si="20"/>
        <v>12.999999999999984</v>
      </c>
      <c r="B99" s="1">
        <v>17.600000000000001</v>
      </c>
      <c r="C99" s="1">
        <v>11.78</v>
      </c>
      <c r="F99" s="1">
        <f t="shared" si="12"/>
        <v>12.999999999999984</v>
      </c>
      <c r="G99" s="1">
        <f t="shared" si="21"/>
        <v>4.5961940777125525</v>
      </c>
      <c r="H99" s="1">
        <f t="shared" si="13"/>
        <v>17.600000000000001</v>
      </c>
      <c r="I99" s="1">
        <f t="shared" si="14"/>
        <v>17.674702886247882</v>
      </c>
      <c r="J99" s="1">
        <f t="shared" si="15"/>
        <v>0.9006936059807038</v>
      </c>
      <c r="K99" s="1">
        <v>0.9006936059807038</v>
      </c>
      <c r="L99" s="1">
        <v>0.9006936059807038</v>
      </c>
      <c r="P99" s="1">
        <f t="shared" si="16"/>
        <v>4.5961940777125525</v>
      </c>
      <c r="Q99" s="8">
        <f t="shared" si="17"/>
        <v>0.14334983960309292</v>
      </c>
    </row>
    <row r="100" spans="1:17">
      <c r="A100" s="1">
        <f t="shared" si="20"/>
        <v>13.499999999999984</v>
      </c>
      <c r="B100" s="1">
        <v>16.32</v>
      </c>
      <c r="C100" s="1">
        <v>11.78</v>
      </c>
      <c r="F100" s="1">
        <f t="shared" si="12"/>
        <v>13.499999999999984</v>
      </c>
      <c r="G100" s="1">
        <f t="shared" si="21"/>
        <v>4.7729707730091899</v>
      </c>
      <c r="H100" s="1">
        <f t="shared" si="13"/>
        <v>16.32</v>
      </c>
      <c r="I100" s="1">
        <f t="shared" si="14"/>
        <v>16.389269949066215</v>
      </c>
      <c r="J100" s="1">
        <f t="shared" si="15"/>
        <v>0.86501946786389161</v>
      </c>
      <c r="K100" s="1">
        <v>0.86501946786389161</v>
      </c>
      <c r="L100" s="1">
        <v>0.86501946786389161</v>
      </c>
      <c r="P100" s="1">
        <f t="shared" si="16"/>
        <v>4.7729707730091899</v>
      </c>
      <c r="Q100" s="8">
        <f t="shared" si="17"/>
        <v>0.13767212418125926</v>
      </c>
    </row>
    <row r="101" spans="1:17">
      <c r="A101" s="1">
        <f t="shared" si="20"/>
        <v>13.999999999999984</v>
      </c>
      <c r="B101" s="1">
        <v>15.15</v>
      </c>
      <c r="C101" s="1">
        <v>11.78</v>
      </c>
      <c r="F101" s="1">
        <f t="shared" si="12"/>
        <v>13.999999999999984</v>
      </c>
      <c r="G101" s="1">
        <f t="shared" si="21"/>
        <v>4.9497474683058265</v>
      </c>
      <c r="H101" s="1">
        <f t="shared" si="13"/>
        <v>15.15</v>
      </c>
      <c r="I101" s="1">
        <f t="shared" si="14"/>
        <v>15.2143039049236</v>
      </c>
      <c r="J101" s="1">
        <f t="shared" si="15"/>
        <v>0.83143550030010216</v>
      </c>
      <c r="K101" s="1">
        <v>0.83143550030010216</v>
      </c>
      <c r="L101" s="1">
        <v>0.83143550030010216</v>
      </c>
      <c r="P101" s="1">
        <f t="shared" si="16"/>
        <v>4.9497474683058265</v>
      </c>
      <c r="Q101" s="8">
        <f t="shared" si="17"/>
        <v>0.13232706973484429</v>
      </c>
    </row>
    <row r="102" spans="1:17">
      <c r="A102" s="1">
        <f t="shared" si="20"/>
        <v>14.499999999999984</v>
      </c>
      <c r="B102" s="1">
        <v>14.11</v>
      </c>
      <c r="C102" s="1">
        <v>11.78</v>
      </c>
      <c r="F102" s="1">
        <f t="shared" si="12"/>
        <v>14.499999999999984</v>
      </c>
      <c r="G102" s="1">
        <f t="shared" si="21"/>
        <v>5.1265241636024639</v>
      </c>
      <c r="H102" s="1">
        <f t="shared" si="13"/>
        <v>14.11</v>
      </c>
      <c r="I102" s="1">
        <f t="shared" si="14"/>
        <v>14.169889643463499</v>
      </c>
      <c r="J102" s="1">
        <f t="shared" si="15"/>
        <v>0.80069596006048505</v>
      </c>
      <c r="K102" s="1">
        <v>0.80069596006048505</v>
      </c>
      <c r="L102" s="1">
        <v>0.80069596006048505</v>
      </c>
      <c r="P102" s="1">
        <f t="shared" si="16"/>
        <v>5.1265241636024639</v>
      </c>
      <c r="Q102" s="8">
        <f t="shared" si="17"/>
        <v>0.12743471995733699</v>
      </c>
    </row>
    <row r="103" spans="1:17">
      <c r="A103" s="1">
        <f t="shared" si="20"/>
        <v>14.999999999999984</v>
      </c>
      <c r="B103" s="1">
        <v>13.18</v>
      </c>
      <c r="C103" s="1">
        <v>11.78</v>
      </c>
      <c r="F103" s="1">
        <f t="shared" si="12"/>
        <v>14.999999999999984</v>
      </c>
      <c r="G103" s="1">
        <f t="shared" si="21"/>
        <v>5.3033008588991004</v>
      </c>
      <c r="H103" s="1">
        <f t="shared" si="13"/>
        <v>13.18</v>
      </c>
      <c r="I103" s="1">
        <f t="shared" si="14"/>
        <v>13.235942275042445</v>
      </c>
      <c r="J103" s="1">
        <f t="shared" si="15"/>
        <v>0.77241060225354174</v>
      </c>
      <c r="K103" s="1">
        <v>0.77241060225354174</v>
      </c>
      <c r="L103" s="1">
        <v>0.77241060225354174</v>
      </c>
      <c r="P103" s="1">
        <f t="shared" si="16"/>
        <v>5.3033008588991004</v>
      </c>
      <c r="Q103" s="8">
        <f t="shared" si="17"/>
        <v>0.12293296544523905</v>
      </c>
    </row>
    <row r="104" spans="1:17">
      <c r="A104" s="1">
        <f>A103+0.5</f>
        <v>15.499999999999984</v>
      </c>
      <c r="B104" s="1">
        <v>12.33</v>
      </c>
      <c r="C104" s="1">
        <v>11.78</v>
      </c>
      <c r="F104" s="1">
        <f t="shared" si="12"/>
        <v>15.499999999999984</v>
      </c>
      <c r="G104" s="1">
        <f t="shared" si="21"/>
        <v>5.4800775541957369</v>
      </c>
      <c r="H104" s="1">
        <f t="shared" si="13"/>
        <v>12.33</v>
      </c>
      <c r="I104" s="1">
        <f t="shared" si="14"/>
        <v>12.382334465195246</v>
      </c>
      <c r="J104" s="1">
        <f t="shared" si="15"/>
        <v>0.74582069639563431</v>
      </c>
      <c r="K104" s="1">
        <v>0.74582069639563431</v>
      </c>
      <c r="L104" s="1">
        <v>0.74582069639563431</v>
      </c>
      <c r="P104" s="1">
        <f t="shared" si="16"/>
        <v>5.4800775541957369</v>
      </c>
      <c r="Q104" s="8">
        <f t="shared" si="17"/>
        <v>0.11870105049160493</v>
      </c>
    </row>
    <row r="105" spans="1:17">
      <c r="A105" s="1">
        <f t="shared" si="20"/>
        <v>15.999999999999984</v>
      </c>
      <c r="B105" s="1">
        <v>11.57</v>
      </c>
      <c r="C105" s="1">
        <v>11.78</v>
      </c>
      <c r="F105" s="1">
        <f t="shared" si="12"/>
        <v>15.999999999999984</v>
      </c>
      <c r="G105" s="1">
        <f t="shared" si="21"/>
        <v>5.6568542494923744</v>
      </c>
      <c r="H105" s="1">
        <f t="shared" si="13"/>
        <v>11.57</v>
      </c>
      <c r="I105" s="1">
        <f t="shared" si="14"/>
        <v>11.619108658743633</v>
      </c>
      <c r="J105" s="1">
        <f t="shared" si="15"/>
        <v>0.7213811799800689</v>
      </c>
      <c r="K105" s="1">
        <v>0.7213811799800689</v>
      </c>
      <c r="L105" s="1">
        <v>0.7213811799800689</v>
      </c>
      <c r="P105" s="1">
        <f t="shared" si="16"/>
        <v>5.6568542494923744</v>
      </c>
      <c r="Q105" s="8">
        <f t="shared" si="17"/>
        <v>0.11481138064729218</v>
      </c>
    </row>
    <row r="106" spans="1:17">
      <c r="A106" s="1">
        <f t="shared" si="20"/>
        <v>16.499999999999986</v>
      </c>
      <c r="B106" s="1">
        <v>10.86</v>
      </c>
      <c r="C106" s="1">
        <v>11.78</v>
      </c>
      <c r="F106" s="1">
        <f t="shared" si="12"/>
        <v>16.499999999999986</v>
      </c>
      <c r="G106" s="1">
        <f t="shared" si="21"/>
        <v>5.8336309447890118</v>
      </c>
      <c r="H106" s="1">
        <f t="shared" si="13"/>
        <v>10.86</v>
      </c>
      <c r="I106" s="1">
        <f t="shared" si="14"/>
        <v>10.906095076400678</v>
      </c>
      <c r="J106" s="1">
        <f t="shared" si="15"/>
        <v>0.69791953198274514</v>
      </c>
      <c r="K106" s="1">
        <v>0.69791953198274514</v>
      </c>
      <c r="L106" s="1">
        <v>0.69791953198274514</v>
      </c>
      <c r="P106" s="1">
        <f t="shared" si="16"/>
        <v>5.8336309447890118</v>
      </c>
      <c r="Q106" s="8">
        <f t="shared" si="17"/>
        <v>0.11107734339543604</v>
      </c>
    </row>
    <row r="107" spans="1:17">
      <c r="A107" s="1">
        <f t="shared" si="20"/>
        <v>16.999999999999986</v>
      </c>
      <c r="B107" s="1">
        <v>10.220000000000001</v>
      </c>
      <c r="C107" s="1">
        <v>11.78</v>
      </c>
      <c r="F107" s="1">
        <f t="shared" si="12"/>
        <v>16.999999999999986</v>
      </c>
      <c r="G107" s="1">
        <f t="shared" si="21"/>
        <v>6.0104076400856483</v>
      </c>
      <c r="H107" s="1">
        <f t="shared" si="13"/>
        <v>10.220000000000001</v>
      </c>
      <c r="I107" s="1">
        <f t="shared" si="14"/>
        <v>10.263378607809848</v>
      </c>
      <c r="J107" s="1">
        <f t="shared" si="15"/>
        <v>0.67619409906519312</v>
      </c>
      <c r="K107" s="1">
        <v>0.67619409906519312</v>
      </c>
      <c r="L107" s="1">
        <v>0.67619409906519312</v>
      </c>
      <c r="P107" s="1">
        <f t="shared" si="16"/>
        <v>6.0104076400856483</v>
      </c>
      <c r="Q107" s="8">
        <f t="shared" si="17"/>
        <v>0.10761963335579625</v>
      </c>
    </row>
    <row r="108" spans="1:17">
      <c r="A108" s="1">
        <f>A107+0.5</f>
        <v>17.499999999999986</v>
      </c>
      <c r="B108" s="1">
        <v>9.64</v>
      </c>
      <c r="C108" s="1">
        <v>11.78</v>
      </c>
      <c r="F108" s="1">
        <f t="shared" si="12"/>
        <v>17.499999999999986</v>
      </c>
      <c r="G108" s="1">
        <f t="shared" si="21"/>
        <v>6.1871843353822857</v>
      </c>
      <c r="H108" s="1">
        <f t="shared" si="13"/>
        <v>9.64</v>
      </c>
      <c r="I108" s="1">
        <f t="shared" si="14"/>
        <v>9.6809168081494068</v>
      </c>
      <c r="J108" s="1">
        <f t="shared" si="15"/>
        <v>0.6559845653921812</v>
      </c>
      <c r="K108" s="1">
        <v>0.6559845653921812</v>
      </c>
      <c r="L108" s="1">
        <v>0.6559845653921812</v>
      </c>
      <c r="P108" s="1">
        <f t="shared" si="16"/>
        <v>6.1871843353822857</v>
      </c>
      <c r="Q108" s="8">
        <f t="shared" si="17"/>
        <v>0.1044031861741543</v>
      </c>
    </row>
    <row r="109" spans="1:17">
      <c r="A109" s="1">
        <f t="shared" si="20"/>
        <v>17.999999999999986</v>
      </c>
      <c r="B109" s="1">
        <v>9.09</v>
      </c>
      <c r="C109" s="1">
        <v>11.78</v>
      </c>
      <c r="F109" s="1">
        <f t="shared" si="12"/>
        <v>17.999999999999986</v>
      </c>
      <c r="G109" s="1">
        <f t="shared" si="21"/>
        <v>6.3639610306789223</v>
      </c>
      <c r="H109" s="1">
        <f t="shared" si="13"/>
        <v>9.09</v>
      </c>
      <c r="I109" s="1">
        <f t="shared" si="14"/>
        <v>9.1285823429541608</v>
      </c>
      <c r="J109" s="1">
        <f t="shared" si="15"/>
        <v>0.63631754706704602</v>
      </c>
      <c r="K109" s="1">
        <v>0.63631754706704602</v>
      </c>
      <c r="L109" s="1">
        <v>0.63631754706704602</v>
      </c>
      <c r="P109" s="1">
        <f t="shared" si="16"/>
        <v>6.3639610306789223</v>
      </c>
      <c r="Q109" s="8">
        <f t="shared" si="17"/>
        <v>0.10127308299183015</v>
      </c>
    </row>
    <row r="110" spans="1:17">
      <c r="A110" s="1">
        <f>A109+0.5</f>
        <v>18.499999999999986</v>
      </c>
      <c r="B110" s="1">
        <v>8.61</v>
      </c>
      <c r="C110" s="1">
        <v>11.78</v>
      </c>
      <c r="F110" s="1">
        <f t="shared" si="12"/>
        <v>18.499999999999986</v>
      </c>
      <c r="G110" s="1">
        <f t="shared" si="21"/>
        <v>6.5407377259755588</v>
      </c>
      <c r="H110" s="1">
        <f t="shared" si="13"/>
        <v>8.61</v>
      </c>
      <c r="I110" s="1">
        <f t="shared" si="14"/>
        <v>8.6465449915110355</v>
      </c>
      <c r="J110" s="1">
        <f t="shared" si="15"/>
        <v>0.61871570004708498</v>
      </c>
      <c r="K110" s="1">
        <v>0.61871570004708498</v>
      </c>
      <c r="L110" s="1">
        <v>0.61871570004708498</v>
      </c>
      <c r="P110" s="1">
        <f t="shared" si="16"/>
        <v>6.5407377259755588</v>
      </c>
      <c r="Q110" s="8">
        <f t="shared" si="17"/>
        <v>9.8471662031055993E-2</v>
      </c>
    </row>
    <row r="111" spans="1:17">
      <c r="A111" s="1">
        <f t="shared" si="20"/>
        <v>18.999999999999986</v>
      </c>
      <c r="B111" s="1">
        <v>8.15</v>
      </c>
      <c r="C111" s="1">
        <v>11.78</v>
      </c>
      <c r="F111" s="1">
        <f t="shared" si="12"/>
        <v>18.999999999999986</v>
      </c>
      <c r="G111" s="1">
        <f t="shared" si="21"/>
        <v>6.7175144212721962</v>
      </c>
      <c r="H111" s="1">
        <f t="shared" si="13"/>
        <v>8.15</v>
      </c>
      <c r="I111" s="1">
        <f t="shared" si="14"/>
        <v>8.1845925297113755</v>
      </c>
      <c r="J111" s="1">
        <f t="shared" si="15"/>
        <v>0.60142890447021957</v>
      </c>
      <c r="K111" s="1">
        <v>0.60142890447021957</v>
      </c>
      <c r="L111" s="1">
        <v>0.60142890447021957</v>
      </c>
      <c r="P111" s="1">
        <f t="shared" si="16"/>
        <v>6.7175144212721962</v>
      </c>
      <c r="Q111" s="8">
        <f t="shared" si="17"/>
        <v>9.5720383064778758E-2</v>
      </c>
    </row>
    <row r="112" spans="1:17">
      <c r="A112" s="1">
        <v>19.5</v>
      </c>
      <c r="B112" s="1">
        <v>7.72</v>
      </c>
      <c r="C112" s="1">
        <v>11.78</v>
      </c>
      <c r="F112" s="1">
        <f t="shared" si="12"/>
        <v>19.5</v>
      </c>
      <c r="G112" s="1">
        <f t="shared" ref="G112:G113" si="22">F112/2/SQRT(2)</f>
        <v>6.8942911165688381</v>
      </c>
      <c r="H112" s="1">
        <f t="shared" si="13"/>
        <v>7.72</v>
      </c>
      <c r="I112" s="1">
        <f t="shared" si="14"/>
        <v>7.7527674023769109</v>
      </c>
      <c r="J112" s="1">
        <f t="shared" si="15"/>
        <v>0.58486615622634486</v>
      </c>
      <c r="K112" s="1">
        <v>0.58486615622634486</v>
      </c>
      <c r="L112" s="1">
        <v>0.58486615622634486</v>
      </c>
      <c r="P112" s="1">
        <f t="shared" si="16"/>
        <v>6.8942911165688381</v>
      </c>
      <c r="Q112" s="8">
        <f t="shared" si="17"/>
        <v>9.3084339810579481E-2</v>
      </c>
    </row>
    <row r="113" spans="1:17">
      <c r="A113" s="1">
        <v>20</v>
      </c>
      <c r="B113" s="1">
        <v>7.34</v>
      </c>
      <c r="C113" s="1">
        <v>11.78</v>
      </c>
      <c r="F113" s="1">
        <f t="shared" si="12"/>
        <v>20</v>
      </c>
      <c r="G113" s="1">
        <f t="shared" si="22"/>
        <v>7.0710678118654746</v>
      </c>
      <c r="H113" s="1">
        <f t="shared" si="13"/>
        <v>7.34</v>
      </c>
      <c r="I113" s="1">
        <f t="shared" si="14"/>
        <v>7.3711544991511042</v>
      </c>
      <c r="J113" s="1">
        <f t="shared" si="15"/>
        <v>0.5698766995266582</v>
      </c>
      <c r="K113" s="1">
        <v>0.5698766995266582</v>
      </c>
      <c r="L113" s="1">
        <v>0.5698766995266582</v>
      </c>
      <c r="P113" s="1">
        <f t="shared" si="16"/>
        <v>7.0710678118654746</v>
      </c>
      <c r="Q113" s="8">
        <f t="shared" si="17"/>
        <v>9.0698693682562434E-2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3"/>
  <sheetViews>
    <sheetView topLeftCell="B1" workbookViewId="0">
      <selection activeCell="O1" sqref="O1:P1048576"/>
    </sheetView>
  </sheetViews>
  <sheetFormatPr defaultRowHeight="14.5"/>
  <cols>
    <col min="11" max="11" width="11.453125" bestFit="1" customWidth="1"/>
    <col min="12" max="12" width="10" bestFit="1" customWidth="1"/>
    <col min="13" max="13" width="9.81640625" style="1" bestFit="1" customWidth="1"/>
    <col min="15" max="15" width="9.26953125" bestFit="1" customWidth="1"/>
    <col min="16" max="16" width="14.1796875" bestFit="1" customWidth="1"/>
    <col min="17" max="17" width="9.26953125" customWidth="1"/>
    <col min="18" max="18" width="14.1796875" style="1" bestFit="1" customWidth="1"/>
  </cols>
  <sheetData>
    <row r="1" spans="1:18">
      <c r="A1" s="1" t="s">
        <v>0</v>
      </c>
      <c r="B1" s="1" t="s">
        <v>1</v>
      </c>
      <c r="C1" s="1" t="s">
        <v>2</v>
      </c>
      <c r="D1" s="3" t="s">
        <v>3</v>
      </c>
      <c r="E1" s="9"/>
      <c r="F1" s="1" t="s">
        <v>4</v>
      </c>
      <c r="G1" s="4" t="s">
        <v>5</v>
      </c>
      <c r="H1" s="5" t="s">
        <v>6</v>
      </c>
      <c r="I1" s="3" t="s">
        <v>3</v>
      </c>
      <c r="J1" s="6" t="s">
        <v>7</v>
      </c>
      <c r="K1" s="7" t="s">
        <v>8</v>
      </c>
      <c r="L1" s="8" t="s">
        <v>17</v>
      </c>
      <c r="M1" s="8" t="s">
        <v>18</v>
      </c>
      <c r="O1" s="4" t="s">
        <v>19</v>
      </c>
      <c r="P1" s="11" t="s">
        <v>20</v>
      </c>
      <c r="Q1" s="1"/>
      <c r="R1" s="1" t="s">
        <v>21</v>
      </c>
    </row>
    <row r="2" spans="1:18">
      <c r="A2" s="1">
        <v>0.1</v>
      </c>
      <c r="B2" s="1">
        <v>92.67</v>
      </c>
      <c r="C2" s="1">
        <v>11.76</v>
      </c>
      <c r="D2" s="10">
        <v>92.67</v>
      </c>
      <c r="E2" s="9"/>
      <c r="F2" s="1">
        <f>A2</f>
        <v>0.1</v>
      </c>
      <c r="G2" s="1">
        <f t="shared" ref="G2:G65" si="0">F2/2/SQRT(2)</f>
        <v>3.5355339059327376E-2</v>
      </c>
      <c r="H2" s="1">
        <f>B2</f>
        <v>92.67</v>
      </c>
      <c r="I2" s="1">
        <f>H2*MAX(C$2:C$113)/C2</f>
        <v>92.985204081632659</v>
      </c>
      <c r="J2" s="1">
        <f>ACOS(1-2*(I2/MAX(I$3:I$111)))</f>
        <v>3.0279207713356397</v>
      </c>
      <c r="K2" s="1">
        <f>2*J$49-J2</f>
        <v>3.0538934304633027</v>
      </c>
      <c r="L2" s="1">
        <f>2*K$30-K2</f>
        <v>8.9198791343975188</v>
      </c>
      <c r="M2" s="1">
        <f>2*L$15-L2</f>
        <v>9.0885524858145068</v>
      </c>
      <c r="O2" s="1">
        <v>3.5355339059327376E-2</v>
      </c>
      <c r="P2" s="1">
        <f>R2/2/PI()</f>
        <v>1.4464880536675118</v>
      </c>
      <c r="Q2" s="1"/>
      <c r="R2" s="1">
        <v>9.0885524858145068</v>
      </c>
    </row>
    <row r="3" spans="1:18">
      <c r="A3" s="1">
        <f>A2+0.1</f>
        <v>0.2</v>
      </c>
      <c r="B3" s="1">
        <v>92.67</v>
      </c>
      <c r="C3" s="1">
        <v>11.76</v>
      </c>
      <c r="D3" s="10">
        <v>92.67</v>
      </c>
      <c r="E3" s="9"/>
      <c r="F3" s="1">
        <f t="shared" ref="F3:F66" si="1">A3</f>
        <v>0.2</v>
      </c>
      <c r="G3" s="1">
        <f t="shared" si="0"/>
        <v>7.0710678118654752E-2</v>
      </c>
      <c r="H3" s="1">
        <f t="shared" ref="H3:H66" si="2">B3</f>
        <v>92.67</v>
      </c>
      <c r="I3" s="1">
        <f t="shared" ref="I3:I66" si="3">H3*MAX(C$2:C$113)/C3</f>
        <v>92.985204081632659</v>
      </c>
      <c r="J3" s="1">
        <f t="shared" ref="J3:J66" si="4">ACOS(1-2*(I3/MAX(I$3:I$111)))</f>
        <v>3.0279207713356397</v>
      </c>
      <c r="K3" s="1">
        <f t="shared" ref="K3:K49" si="5">2*J$49-J3</f>
        <v>3.0538934304633027</v>
      </c>
      <c r="L3" s="1">
        <f t="shared" ref="L3:L30" si="6">2*K$30-K3</f>
        <v>8.9198791343975188</v>
      </c>
      <c r="M3" s="1">
        <f t="shared" ref="M3:M16" si="7">2*L$15-L3</f>
        <v>9.0885524858145068</v>
      </c>
      <c r="O3" s="1">
        <v>7.0710678118654752E-2</v>
      </c>
      <c r="P3" s="1">
        <f t="shared" ref="P3:P66" si="8">R3/2/PI()</f>
        <v>1.4464880536675118</v>
      </c>
      <c r="Q3" s="1"/>
      <c r="R3" s="1">
        <v>9.0885524858145068</v>
      </c>
    </row>
    <row r="4" spans="1:18">
      <c r="A4" s="1">
        <f t="shared" ref="A4:A66" si="9">A3+0.1</f>
        <v>0.30000000000000004</v>
      </c>
      <c r="B4" s="1">
        <v>92.67</v>
      </c>
      <c r="C4" s="1">
        <v>11.76</v>
      </c>
      <c r="D4" s="10">
        <v>92.67</v>
      </c>
      <c r="E4" s="9"/>
      <c r="F4" s="1">
        <f t="shared" si="1"/>
        <v>0.30000000000000004</v>
      </c>
      <c r="G4" s="1">
        <f t="shared" si="0"/>
        <v>0.10606601717798214</v>
      </c>
      <c r="H4" s="1">
        <f t="shared" si="2"/>
        <v>92.67</v>
      </c>
      <c r="I4" s="1">
        <f t="shared" si="3"/>
        <v>92.985204081632659</v>
      </c>
      <c r="J4" s="1">
        <f t="shared" si="4"/>
        <v>3.0279207713356397</v>
      </c>
      <c r="K4" s="1">
        <f t="shared" si="5"/>
        <v>3.0538934304633027</v>
      </c>
      <c r="L4" s="1">
        <f t="shared" si="6"/>
        <v>8.9198791343975188</v>
      </c>
      <c r="M4" s="1">
        <f t="shared" si="7"/>
        <v>9.0885524858145068</v>
      </c>
      <c r="O4" s="1">
        <v>0.10606601717798214</v>
      </c>
      <c r="P4" s="1">
        <f t="shared" si="8"/>
        <v>1.4464880536675118</v>
      </c>
      <c r="Q4" s="1"/>
      <c r="R4" s="1">
        <v>9.0885524858145068</v>
      </c>
    </row>
    <row r="5" spans="1:18">
      <c r="A5" s="1">
        <f t="shared" si="9"/>
        <v>0.4</v>
      </c>
      <c r="B5" s="1">
        <v>92.67</v>
      </c>
      <c r="C5" s="1">
        <v>11.76</v>
      </c>
      <c r="D5" s="10">
        <v>92.67</v>
      </c>
      <c r="E5" s="9"/>
      <c r="F5" s="1">
        <f t="shared" si="1"/>
        <v>0.4</v>
      </c>
      <c r="G5" s="1">
        <f t="shared" si="0"/>
        <v>0.1414213562373095</v>
      </c>
      <c r="H5" s="1">
        <f t="shared" si="2"/>
        <v>92.67</v>
      </c>
      <c r="I5" s="1">
        <f t="shared" si="3"/>
        <v>92.985204081632659</v>
      </c>
      <c r="J5" s="1">
        <f t="shared" si="4"/>
        <v>3.0279207713356397</v>
      </c>
      <c r="K5" s="1">
        <f t="shared" si="5"/>
        <v>3.0538934304633027</v>
      </c>
      <c r="L5" s="1">
        <f t="shared" si="6"/>
        <v>8.9198791343975188</v>
      </c>
      <c r="M5" s="1">
        <f t="shared" si="7"/>
        <v>9.0885524858145068</v>
      </c>
      <c r="O5" s="1">
        <v>0.1414213562373095</v>
      </c>
      <c r="P5" s="1">
        <f t="shared" si="8"/>
        <v>1.4464880536675118</v>
      </c>
      <c r="Q5" s="1"/>
      <c r="R5" s="1">
        <v>9.0885524858145068</v>
      </c>
    </row>
    <row r="6" spans="1:18">
      <c r="A6" s="1">
        <f t="shared" si="9"/>
        <v>0.5</v>
      </c>
      <c r="B6" s="1">
        <v>92.67</v>
      </c>
      <c r="C6" s="1">
        <v>11.76</v>
      </c>
      <c r="D6" s="10">
        <v>92.67</v>
      </c>
      <c r="E6" s="9"/>
      <c r="F6" s="1">
        <f t="shared" si="1"/>
        <v>0.5</v>
      </c>
      <c r="G6" s="1">
        <f t="shared" si="0"/>
        <v>0.17677669529663687</v>
      </c>
      <c r="H6" s="1">
        <f t="shared" si="2"/>
        <v>92.67</v>
      </c>
      <c r="I6" s="1">
        <f t="shared" si="3"/>
        <v>92.985204081632659</v>
      </c>
      <c r="J6" s="1">
        <f t="shared" si="4"/>
        <v>3.0279207713356397</v>
      </c>
      <c r="K6" s="1">
        <f t="shared" si="5"/>
        <v>3.0538934304633027</v>
      </c>
      <c r="L6" s="1">
        <f t="shared" si="6"/>
        <v>8.9198791343975188</v>
      </c>
      <c r="M6" s="1">
        <f t="shared" si="7"/>
        <v>9.0885524858145068</v>
      </c>
      <c r="O6" s="1">
        <v>0.17677669529663687</v>
      </c>
      <c r="P6" s="1">
        <f t="shared" si="8"/>
        <v>1.4464880536675118</v>
      </c>
      <c r="Q6" s="1"/>
      <c r="R6" s="1">
        <v>9.0885524858145068</v>
      </c>
    </row>
    <row r="7" spans="1:18">
      <c r="A7" s="1">
        <f t="shared" si="9"/>
        <v>0.6</v>
      </c>
      <c r="B7" s="1">
        <v>92.67</v>
      </c>
      <c r="C7" s="1">
        <v>11.76</v>
      </c>
      <c r="D7" s="10">
        <v>92.67</v>
      </c>
      <c r="E7" s="9"/>
      <c r="F7" s="1">
        <f t="shared" si="1"/>
        <v>0.6</v>
      </c>
      <c r="G7" s="1">
        <f t="shared" si="0"/>
        <v>0.21213203435596423</v>
      </c>
      <c r="H7" s="1">
        <f t="shared" si="2"/>
        <v>92.67</v>
      </c>
      <c r="I7" s="1">
        <f t="shared" si="3"/>
        <v>92.985204081632659</v>
      </c>
      <c r="J7" s="1">
        <f t="shared" si="4"/>
        <v>3.0279207713356397</v>
      </c>
      <c r="K7" s="1">
        <f t="shared" si="5"/>
        <v>3.0538934304633027</v>
      </c>
      <c r="L7" s="1">
        <f t="shared" si="6"/>
        <v>8.9198791343975188</v>
      </c>
      <c r="M7" s="1">
        <f t="shared" si="7"/>
        <v>9.0885524858145068</v>
      </c>
      <c r="O7" s="1">
        <v>0.21213203435596423</v>
      </c>
      <c r="P7" s="1">
        <f t="shared" si="8"/>
        <v>1.4464880536675118</v>
      </c>
      <c r="Q7" s="1"/>
      <c r="R7" s="1">
        <v>9.0885524858145068</v>
      </c>
    </row>
    <row r="8" spans="1:18">
      <c r="A8" s="1">
        <f t="shared" si="9"/>
        <v>0.7</v>
      </c>
      <c r="B8" s="1">
        <v>92.67</v>
      </c>
      <c r="C8" s="1">
        <v>11.76</v>
      </c>
      <c r="D8" s="10">
        <v>92.67</v>
      </c>
      <c r="E8" s="9"/>
      <c r="F8" s="1">
        <f t="shared" si="1"/>
        <v>0.7</v>
      </c>
      <c r="G8" s="1">
        <f t="shared" si="0"/>
        <v>0.24748737341529159</v>
      </c>
      <c r="H8" s="1">
        <f t="shared" si="2"/>
        <v>92.67</v>
      </c>
      <c r="I8" s="1">
        <f t="shared" si="3"/>
        <v>92.985204081632659</v>
      </c>
      <c r="J8" s="1">
        <f t="shared" si="4"/>
        <v>3.0279207713356397</v>
      </c>
      <c r="K8" s="1">
        <f t="shared" si="5"/>
        <v>3.0538934304633027</v>
      </c>
      <c r="L8" s="1">
        <f t="shared" si="6"/>
        <v>8.9198791343975188</v>
      </c>
      <c r="M8" s="1">
        <f t="shared" si="7"/>
        <v>9.0885524858145068</v>
      </c>
      <c r="O8" s="1">
        <v>0.24748737341529159</v>
      </c>
      <c r="P8" s="1">
        <f t="shared" si="8"/>
        <v>1.4464880536675118</v>
      </c>
      <c r="Q8" s="1"/>
      <c r="R8" s="1">
        <v>9.0885524858145068</v>
      </c>
    </row>
    <row r="9" spans="1:18">
      <c r="A9" s="1">
        <f t="shared" si="9"/>
        <v>0.79999999999999993</v>
      </c>
      <c r="B9" s="1">
        <v>92.69</v>
      </c>
      <c r="C9" s="1">
        <v>11.76</v>
      </c>
      <c r="D9" s="10">
        <v>92.69</v>
      </c>
      <c r="E9" s="9"/>
      <c r="F9" s="1">
        <f t="shared" si="1"/>
        <v>0.79999999999999993</v>
      </c>
      <c r="G9" s="1">
        <f t="shared" si="0"/>
        <v>0.28284271247461895</v>
      </c>
      <c r="H9" s="1">
        <f t="shared" si="2"/>
        <v>92.69</v>
      </c>
      <c r="I9" s="1">
        <f t="shared" si="3"/>
        <v>93.005272108843542</v>
      </c>
      <c r="J9" s="1">
        <f t="shared" si="4"/>
        <v>3.031779128516165</v>
      </c>
      <c r="K9" s="1">
        <f t="shared" si="5"/>
        <v>3.0500350732827775</v>
      </c>
      <c r="L9" s="1">
        <f t="shared" si="6"/>
        <v>8.923737491578045</v>
      </c>
      <c r="M9" s="1">
        <f t="shared" si="7"/>
        <v>9.0846941286339806</v>
      </c>
      <c r="O9" s="1">
        <v>0.28284271247461895</v>
      </c>
      <c r="P9" s="1">
        <f t="shared" si="8"/>
        <v>1.4458739770500169</v>
      </c>
      <c r="Q9" s="1"/>
      <c r="R9" s="1">
        <v>9.0846941286339806</v>
      </c>
    </row>
    <row r="10" spans="1:18">
      <c r="A10" s="1">
        <f t="shared" si="9"/>
        <v>0.89999999999999991</v>
      </c>
      <c r="B10" s="1">
        <v>92.7</v>
      </c>
      <c r="C10" s="1">
        <v>11.76</v>
      </c>
      <c r="D10" s="10">
        <v>92.7</v>
      </c>
      <c r="E10" s="9"/>
      <c r="F10" s="1">
        <f t="shared" si="1"/>
        <v>0.89999999999999991</v>
      </c>
      <c r="G10" s="1">
        <f t="shared" si="0"/>
        <v>0.31819805153394631</v>
      </c>
      <c r="H10" s="1">
        <f t="shared" si="2"/>
        <v>92.7</v>
      </c>
      <c r="I10" s="1">
        <f t="shared" si="3"/>
        <v>93.01530612244899</v>
      </c>
      <c r="J10" s="1">
        <f t="shared" si="4"/>
        <v>3.0337598499975593</v>
      </c>
      <c r="K10" s="1">
        <f t="shared" si="5"/>
        <v>3.0480543518013832</v>
      </c>
      <c r="L10" s="1">
        <f t="shared" si="6"/>
        <v>8.9257182130594384</v>
      </c>
      <c r="M10" s="1">
        <f t="shared" si="7"/>
        <v>9.0827134071525872</v>
      </c>
      <c r="O10" s="1">
        <v>0.31819805153394631</v>
      </c>
      <c r="P10" s="1">
        <f t="shared" si="8"/>
        <v>1.4455587354353649</v>
      </c>
      <c r="Q10" s="1"/>
      <c r="R10" s="1">
        <v>9.0827134071525872</v>
      </c>
    </row>
    <row r="11" spans="1:18">
      <c r="A11" s="1">
        <f t="shared" si="9"/>
        <v>0.99999999999999989</v>
      </c>
      <c r="B11" s="1">
        <v>92.73</v>
      </c>
      <c r="C11" s="1">
        <v>11.76</v>
      </c>
      <c r="D11" s="10">
        <v>92.73</v>
      </c>
      <c r="E11" s="9"/>
      <c r="F11" s="1">
        <f t="shared" si="1"/>
        <v>0.99999999999999989</v>
      </c>
      <c r="G11" s="1">
        <f t="shared" si="0"/>
        <v>0.35355339059327368</v>
      </c>
      <c r="H11" s="1">
        <f t="shared" si="2"/>
        <v>92.73</v>
      </c>
      <c r="I11" s="1">
        <f t="shared" si="3"/>
        <v>93.045408163265321</v>
      </c>
      <c r="J11" s="1">
        <f t="shared" si="4"/>
        <v>3.0399323899228543</v>
      </c>
      <c r="K11" s="1">
        <f t="shared" si="5"/>
        <v>3.0418818118760882</v>
      </c>
      <c r="L11" s="1">
        <f t="shared" si="6"/>
        <v>8.9318907529847333</v>
      </c>
      <c r="M11" s="1">
        <f t="shared" si="7"/>
        <v>9.0765408672272923</v>
      </c>
      <c r="O11" s="1">
        <v>0.35355339059327368</v>
      </c>
      <c r="P11" s="1">
        <f t="shared" si="8"/>
        <v>1.4445763451948221</v>
      </c>
      <c r="Q11" s="1"/>
      <c r="R11" s="1">
        <v>9.0765408672272923</v>
      </c>
    </row>
    <row r="12" spans="1:18">
      <c r="A12" s="1">
        <f t="shared" si="9"/>
        <v>1.0999999999999999</v>
      </c>
      <c r="B12" s="1">
        <v>92.76</v>
      </c>
      <c r="C12" s="1">
        <v>11.76</v>
      </c>
      <c r="D12" s="10">
        <v>92.76</v>
      </c>
      <c r="E12" s="9"/>
      <c r="F12" s="1">
        <f t="shared" si="1"/>
        <v>1.0999999999999999</v>
      </c>
      <c r="G12" s="1">
        <f t="shared" si="0"/>
        <v>0.38890872965260104</v>
      </c>
      <c r="H12" s="1">
        <f t="shared" si="2"/>
        <v>92.76</v>
      </c>
      <c r="I12" s="1">
        <f t="shared" si="3"/>
        <v>93.075510204081652</v>
      </c>
      <c r="J12" s="1">
        <f t="shared" si="4"/>
        <v>3.0465033076795462</v>
      </c>
      <c r="K12" s="1">
        <f t="shared" si="5"/>
        <v>3.0353108941193963</v>
      </c>
      <c r="L12" s="1">
        <f t="shared" si="6"/>
        <v>8.9384616707414253</v>
      </c>
      <c r="M12" s="1">
        <f t="shared" si="7"/>
        <v>9.0699699494706003</v>
      </c>
      <c r="O12" s="1">
        <v>0.38890872965260104</v>
      </c>
      <c r="P12" s="1">
        <f t="shared" si="8"/>
        <v>1.4435305511531942</v>
      </c>
      <c r="Q12" s="1"/>
      <c r="R12" s="1">
        <v>9.0699699494706003</v>
      </c>
    </row>
    <row r="13" spans="1:18">
      <c r="A13" s="1">
        <f t="shared" si="9"/>
        <v>1.2</v>
      </c>
      <c r="B13" s="1">
        <v>92.81</v>
      </c>
      <c r="C13" s="1">
        <v>11.76</v>
      </c>
      <c r="D13" s="10">
        <v>92.81</v>
      </c>
      <c r="E13" s="9"/>
      <c r="F13" s="1">
        <f t="shared" si="1"/>
        <v>1.2</v>
      </c>
      <c r="G13" s="1">
        <f t="shared" si="0"/>
        <v>0.42426406871192845</v>
      </c>
      <c r="H13" s="1">
        <f t="shared" si="2"/>
        <v>92.81</v>
      </c>
      <c r="I13" s="1">
        <f t="shared" si="3"/>
        <v>93.125680272108852</v>
      </c>
      <c r="J13" s="1">
        <f t="shared" si="4"/>
        <v>3.0585993180823614</v>
      </c>
      <c r="K13" s="1">
        <f t="shared" si="5"/>
        <v>3.0232148837165811</v>
      </c>
      <c r="L13" s="1">
        <f t="shared" si="6"/>
        <v>8.9505576811442396</v>
      </c>
      <c r="M13" s="1">
        <f t="shared" si="7"/>
        <v>9.057873939067786</v>
      </c>
      <c r="O13" s="1">
        <v>0.42426406871192845</v>
      </c>
      <c r="P13" s="1">
        <f t="shared" si="8"/>
        <v>1.4416054113058954</v>
      </c>
      <c r="Q13" s="1"/>
      <c r="R13" s="1">
        <v>9.057873939067786</v>
      </c>
    </row>
    <row r="14" spans="1:18">
      <c r="A14" s="1">
        <f t="shared" si="9"/>
        <v>1.3</v>
      </c>
      <c r="B14" s="1">
        <v>92.88</v>
      </c>
      <c r="C14" s="1">
        <v>11.76</v>
      </c>
      <c r="D14" s="10">
        <v>92.88</v>
      </c>
      <c r="E14" s="9"/>
      <c r="F14" s="1">
        <f t="shared" si="1"/>
        <v>1.3</v>
      </c>
      <c r="G14" s="1">
        <f t="shared" si="0"/>
        <v>0.45961940777125587</v>
      </c>
      <c r="H14" s="1">
        <f t="shared" si="2"/>
        <v>92.88</v>
      </c>
      <c r="I14" s="1">
        <f t="shared" si="3"/>
        <v>93.195918367346934</v>
      </c>
      <c r="J14" s="1">
        <f t="shared" si="4"/>
        <v>3.0793554702109347</v>
      </c>
      <c r="K14" s="1">
        <f t="shared" si="5"/>
        <v>3.0024587315880078</v>
      </c>
      <c r="L14" s="1">
        <f t="shared" si="6"/>
        <v>8.9713138332728128</v>
      </c>
      <c r="M14" s="1">
        <f t="shared" si="7"/>
        <v>9.0371177869392127</v>
      </c>
      <c r="O14" s="1">
        <v>0.45961940777125587</v>
      </c>
      <c r="P14" s="1">
        <f t="shared" si="8"/>
        <v>1.4383019670950656</v>
      </c>
      <c r="Q14" s="1"/>
      <c r="R14" s="1">
        <v>9.0371177869392127</v>
      </c>
    </row>
    <row r="15" spans="1:18">
      <c r="A15" s="1">
        <f t="shared" si="9"/>
        <v>1.4000000000000001</v>
      </c>
      <c r="B15" s="1">
        <v>92.95</v>
      </c>
      <c r="C15" s="1">
        <v>11.76</v>
      </c>
      <c r="D15" s="10">
        <v>92.95</v>
      </c>
      <c r="E15" s="9"/>
      <c r="F15" s="1">
        <f t="shared" si="1"/>
        <v>1.4000000000000001</v>
      </c>
      <c r="G15" s="1">
        <f t="shared" si="0"/>
        <v>0.49497474683058329</v>
      </c>
      <c r="H15" s="1">
        <f t="shared" si="2"/>
        <v>92.95</v>
      </c>
      <c r="I15" s="1">
        <f t="shared" si="3"/>
        <v>93.266156462585045</v>
      </c>
      <c r="J15" s="1">
        <f t="shared" si="4"/>
        <v>3.1122574470441338</v>
      </c>
      <c r="K15" s="1">
        <f t="shared" si="5"/>
        <v>2.9695567547548087</v>
      </c>
      <c r="L15" s="1">
        <f t="shared" si="6"/>
        <v>9.0042158101060128</v>
      </c>
      <c r="M15" s="1">
        <f t="shared" si="7"/>
        <v>9.0042158101060128</v>
      </c>
      <c r="O15" s="1">
        <v>0.49497474683058329</v>
      </c>
      <c r="P15" s="1">
        <f t="shared" si="8"/>
        <v>1.4330654548445667</v>
      </c>
      <c r="Q15" s="1"/>
      <c r="R15" s="1">
        <v>9.0042158101060128</v>
      </c>
    </row>
    <row r="16" spans="1:18">
      <c r="A16" s="1">
        <f t="shared" si="9"/>
        <v>1.5000000000000002</v>
      </c>
      <c r="B16" s="1">
        <v>92.97</v>
      </c>
      <c r="C16" s="1">
        <v>11.76</v>
      </c>
      <c r="D16" s="10">
        <v>92.97</v>
      </c>
      <c r="E16" s="9"/>
      <c r="F16" s="1">
        <f t="shared" si="1"/>
        <v>1.5000000000000002</v>
      </c>
      <c r="G16" s="1">
        <f t="shared" si="0"/>
        <v>0.53033008588991071</v>
      </c>
      <c r="H16" s="1">
        <f t="shared" si="2"/>
        <v>92.97</v>
      </c>
      <c r="I16" s="1">
        <f t="shared" si="3"/>
        <v>93.286224489795927</v>
      </c>
      <c r="J16" s="1">
        <f t="shared" si="4"/>
        <v>3.1415926535897931</v>
      </c>
      <c r="K16" s="1">
        <f t="shared" si="5"/>
        <v>2.9402215482091494</v>
      </c>
      <c r="L16" s="1">
        <f t="shared" si="6"/>
        <v>9.0335510166516713</v>
      </c>
      <c r="M16" s="1">
        <f t="shared" si="7"/>
        <v>8.9748806035603543</v>
      </c>
      <c r="O16" s="1">
        <v>0.53033008588991071</v>
      </c>
      <c r="P16" s="1">
        <f t="shared" si="8"/>
        <v>1.4283966117162035</v>
      </c>
      <c r="Q16" s="1"/>
      <c r="R16" s="1">
        <v>8.9748806035603543</v>
      </c>
    </row>
    <row r="17" spans="1:18">
      <c r="A17" s="1">
        <f t="shared" si="9"/>
        <v>1.6000000000000003</v>
      </c>
      <c r="B17" s="1">
        <v>92.64</v>
      </c>
      <c r="C17" s="1">
        <v>11.76</v>
      </c>
      <c r="D17" s="10">
        <v>92.64</v>
      </c>
      <c r="E17" s="9"/>
      <c r="F17" s="1">
        <f t="shared" si="1"/>
        <v>1.6000000000000003</v>
      </c>
      <c r="G17" s="1">
        <f t="shared" si="0"/>
        <v>0.56568542494923812</v>
      </c>
      <c r="H17" s="1">
        <f t="shared" si="2"/>
        <v>92.64</v>
      </c>
      <c r="I17" s="1">
        <f t="shared" si="3"/>
        <v>92.955102040816328</v>
      </c>
      <c r="J17" s="1">
        <f t="shared" si="4"/>
        <v>3.0223661497945029</v>
      </c>
      <c r="K17" s="1">
        <f t="shared" si="5"/>
        <v>3.0594480520044396</v>
      </c>
      <c r="L17" s="1">
        <f t="shared" si="6"/>
        <v>8.9143245128563819</v>
      </c>
      <c r="M17" s="1">
        <v>8.9143245128563819</v>
      </c>
      <c r="O17" s="1">
        <v>0.56568542494923812</v>
      </c>
      <c r="P17" s="1">
        <f t="shared" si="8"/>
        <v>1.4187588105463451</v>
      </c>
      <c r="Q17" s="1"/>
      <c r="R17" s="1">
        <v>8.9143245128563819</v>
      </c>
    </row>
    <row r="18" spans="1:18">
      <c r="A18" s="1">
        <f t="shared" si="9"/>
        <v>1.7000000000000004</v>
      </c>
      <c r="B18" s="1">
        <v>91.34</v>
      </c>
      <c r="C18" s="1">
        <v>11.76</v>
      </c>
      <c r="D18" s="10">
        <v>91.34</v>
      </c>
      <c r="E18" s="9"/>
      <c r="F18" s="1">
        <f t="shared" si="1"/>
        <v>1.7000000000000004</v>
      </c>
      <c r="G18" s="1">
        <f t="shared" si="0"/>
        <v>0.60104076400856554</v>
      </c>
      <c r="H18" s="1">
        <f t="shared" si="2"/>
        <v>91.34</v>
      </c>
      <c r="I18" s="1">
        <f t="shared" si="3"/>
        <v>91.650680272108858</v>
      </c>
      <c r="J18" s="1">
        <f t="shared" si="4"/>
        <v>2.8759916769059402</v>
      </c>
      <c r="K18" s="1">
        <f t="shared" si="5"/>
        <v>3.2058225248930023</v>
      </c>
      <c r="L18" s="1">
        <f t="shared" si="6"/>
        <v>8.7679500399678183</v>
      </c>
      <c r="M18" s="1">
        <v>8.7679500399678183</v>
      </c>
      <c r="O18" s="1">
        <v>0.60104076400856554</v>
      </c>
      <c r="P18" s="1">
        <f t="shared" si="8"/>
        <v>1.3954625896436597</v>
      </c>
      <c r="Q18" s="1"/>
      <c r="R18" s="1">
        <v>8.7679500399678183</v>
      </c>
    </row>
    <row r="19" spans="1:18">
      <c r="A19" s="1">
        <f t="shared" si="9"/>
        <v>1.8000000000000005</v>
      </c>
      <c r="B19" s="1">
        <v>88.35</v>
      </c>
      <c r="C19" s="1">
        <v>11.76</v>
      </c>
      <c r="D19" s="10">
        <v>88.35</v>
      </c>
      <c r="E19" s="9"/>
      <c r="F19" s="1">
        <f t="shared" si="1"/>
        <v>1.8000000000000005</v>
      </c>
      <c r="G19" s="1">
        <f t="shared" si="0"/>
        <v>0.63639610306789285</v>
      </c>
      <c r="H19" s="1">
        <f t="shared" si="2"/>
        <v>88.35</v>
      </c>
      <c r="I19" s="1">
        <f t="shared" si="3"/>
        <v>88.650510204081627</v>
      </c>
      <c r="J19" s="1">
        <f t="shared" si="4"/>
        <v>2.6919744407979822</v>
      </c>
      <c r="K19" s="1">
        <f t="shared" si="5"/>
        <v>3.3898397610009603</v>
      </c>
      <c r="L19" s="1">
        <f t="shared" si="6"/>
        <v>8.5839328038598612</v>
      </c>
      <c r="M19" s="1">
        <v>8.5839328038598612</v>
      </c>
      <c r="O19" s="1">
        <v>0.63639610306789285</v>
      </c>
      <c r="P19" s="1">
        <f t="shared" si="8"/>
        <v>1.3661753369029699</v>
      </c>
      <c r="Q19" s="1"/>
      <c r="R19" s="1">
        <v>8.5839328038598612</v>
      </c>
    </row>
    <row r="20" spans="1:18">
      <c r="A20" s="1">
        <f t="shared" si="9"/>
        <v>1.9000000000000006</v>
      </c>
      <c r="B20" s="1">
        <v>83.16</v>
      </c>
      <c r="C20" s="1">
        <v>11.76</v>
      </c>
      <c r="D20" s="10">
        <v>83.16</v>
      </c>
      <c r="E20" s="9"/>
      <c r="F20" s="1">
        <f t="shared" si="1"/>
        <v>1.9000000000000006</v>
      </c>
      <c r="G20" s="1">
        <f t="shared" si="0"/>
        <v>0.67175144212722027</v>
      </c>
      <c r="H20" s="1">
        <f t="shared" si="2"/>
        <v>83.16</v>
      </c>
      <c r="I20" s="1">
        <f t="shared" si="3"/>
        <v>83.44285714285715</v>
      </c>
      <c r="J20" s="1">
        <f t="shared" si="4"/>
        <v>2.4799177007130631</v>
      </c>
      <c r="K20" s="1">
        <f t="shared" si="5"/>
        <v>3.6018965010858794</v>
      </c>
      <c r="L20" s="1">
        <f t="shared" si="6"/>
        <v>8.3718760637749412</v>
      </c>
      <c r="M20" s="1">
        <v>8.3718760637749412</v>
      </c>
      <c r="O20" s="1">
        <v>0.67175144212722027</v>
      </c>
      <c r="P20" s="1">
        <f t="shared" si="8"/>
        <v>1.3324254585025015</v>
      </c>
      <c r="Q20" s="1"/>
      <c r="R20" s="1">
        <v>8.3718760637749412</v>
      </c>
    </row>
    <row r="21" spans="1:18">
      <c r="A21" s="1">
        <f t="shared" si="9"/>
        <v>2.0000000000000004</v>
      </c>
      <c r="B21" s="1">
        <v>75.61</v>
      </c>
      <c r="C21" s="1">
        <v>11.76</v>
      </c>
      <c r="D21" s="10">
        <v>75.61</v>
      </c>
      <c r="E21" s="9"/>
      <c r="F21" s="1">
        <f t="shared" si="1"/>
        <v>2.0000000000000004</v>
      </c>
      <c r="G21" s="1">
        <f t="shared" si="0"/>
        <v>0.70710678118654768</v>
      </c>
      <c r="H21" s="1">
        <f t="shared" si="2"/>
        <v>75.61</v>
      </c>
      <c r="I21" s="1">
        <f t="shared" si="3"/>
        <v>75.86717687074831</v>
      </c>
      <c r="J21" s="1">
        <f t="shared" si="4"/>
        <v>2.247910152344812</v>
      </c>
      <c r="K21" s="1">
        <f t="shared" si="5"/>
        <v>3.8339040494541305</v>
      </c>
      <c r="L21" s="1">
        <f t="shared" si="6"/>
        <v>8.1398685154066914</v>
      </c>
      <c r="M21" s="1">
        <v>8.1398685154066914</v>
      </c>
      <c r="O21" s="1">
        <v>0.70710678118654768</v>
      </c>
      <c r="P21" s="1">
        <f t="shared" si="8"/>
        <v>1.2955003103450626</v>
      </c>
      <c r="Q21" s="1"/>
      <c r="R21" s="1">
        <v>8.1398685154066914</v>
      </c>
    </row>
    <row r="22" spans="1:18">
      <c r="A22" s="1">
        <f t="shared" si="9"/>
        <v>2.1000000000000005</v>
      </c>
      <c r="B22" s="1">
        <v>66</v>
      </c>
      <c r="C22" s="1">
        <v>11.76</v>
      </c>
      <c r="D22" s="10">
        <v>66</v>
      </c>
      <c r="E22" s="9"/>
      <c r="F22" s="1">
        <f t="shared" si="1"/>
        <v>2.1000000000000005</v>
      </c>
      <c r="G22" s="1">
        <f t="shared" si="0"/>
        <v>0.74246212024587499</v>
      </c>
      <c r="H22" s="1">
        <f t="shared" si="2"/>
        <v>66</v>
      </c>
      <c r="I22" s="1">
        <f t="shared" si="3"/>
        <v>66.224489795918373</v>
      </c>
      <c r="J22" s="1">
        <f t="shared" si="4"/>
        <v>2.0040354284101731</v>
      </c>
      <c r="K22" s="1">
        <f t="shared" si="5"/>
        <v>4.0777787733887694</v>
      </c>
      <c r="L22" s="1">
        <f t="shared" si="6"/>
        <v>7.8959937914720522</v>
      </c>
      <c r="M22" s="1">
        <v>7.8959937914720522</v>
      </c>
      <c r="O22" s="1">
        <v>0.74246212024587499</v>
      </c>
      <c r="P22" s="1">
        <f t="shared" si="8"/>
        <v>1.2566864425356934</v>
      </c>
      <c r="Q22" s="1"/>
      <c r="R22" s="1">
        <v>7.8959937914720522</v>
      </c>
    </row>
    <row r="23" spans="1:18">
      <c r="A23" s="1">
        <f t="shared" si="9"/>
        <v>2.2000000000000006</v>
      </c>
      <c r="B23" s="1">
        <v>54.79</v>
      </c>
      <c r="C23" s="1">
        <v>11.76</v>
      </c>
      <c r="D23" s="10">
        <v>54.79</v>
      </c>
      <c r="E23" s="9"/>
      <c r="F23" s="1">
        <f t="shared" si="1"/>
        <v>2.2000000000000006</v>
      </c>
      <c r="G23" s="1">
        <f t="shared" si="0"/>
        <v>0.77781745930520241</v>
      </c>
      <c r="H23" s="1">
        <f t="shared" si="2"/>
        <v>54.79</v>
      </c>
      <c r="I23" s="1">
        <f t="shared" si="3"/>
        <v>54.976360544217691</v>
      </c>
      <c r="J23" s="1">
        <f t="shared" si="4"/>
        <v>1.7504204763763238</v>
      </c>
      <c r="K23" s="1">
        <f t="shared" si="5"/>
        <v>4.3313937254226182</v>
      </c>
      <c r="L23" s="1">
        <f t="shared" si="6"/>
        <v>7.6423788394382033</v>
      </c>
      <c r="M23" s="1">
        <v>7.6423788394382033</v>
      </c>
      <c r="O23" s="1">
        <v>0.77781745930520241</v>
      </c>
      <c r="P23" s="1">
        <f t="shared" si="8"/>
        <v>1.2163223692774925</v>
      </c>
      <c r="Q23" s="1"/>
      <c r="R23" s="1">
        <v>7.6423788394382033</v>
      </c>
    </row>
    <row r="24" spans="1:18">
      <c r="A24" s="1">
        <f t="shared" si="9"/>
        <v>2.3000000000000007</v>
      </c>
      <c r="B24" s="1">
        <v>42.85</v>
      </c>
      <c r="C24" s="1">
        <v>11.76</v>
      </c>
      <c r="D24" s="10">
        <v>42.85</v>
      </c>
      <c r="E24" s="9"/>
      <c r="F24" s="1">
        <f t="shared" si="1"/>
        <v>2.3000000000000007</v>
      </c>
      <c r="G24" s="1">
        <f t="shared" si="0"/>
        <v>0.81317279836452983</v>
      </c>
      <c r="H24" s="1">
        <f t="shared" si="2"/>
        <v>42.85</v>
      </c>
      <c r="I24" s="1">
        <f t="shared" si="3"/>
        <v>42.995748299319736</v>
      </c>
      <c r="J24" s="1">
        <f t="shared" si="4"/>
        <v>1.4925191451593205</v>
      </c>
      <c r="K24" s="1">
        <f t="shared" si="5"/>
        <v>4.5892950566396218</v>
      </c>
      <c r="L24" s="1">
        <f t="shared" si="6"/>
        <v>7.3844775082211997</v>
      </c>
      <c r="M24" s="1">
        <v>7.3844775082211997</v>
      </c>
      <c r="O24" s="1">
        <v>0.81317279836452983</v>
      </c>
      <c r="P24" s="1">
        <f t="shared" si="8"/>
        <v>1.1752760975843262</v>
      </c>
      <c r="Q24" s="1"/>
      <c r="R24" s="1">
        <v>7.3844775082211997</v>
      </c>
    </row>
    <row r="25" spans="1:18">
      <c r="A25" s="1">
        <f t="shared" si="9"/>
        <v>2.4000000000000008</v>
      </c>
      <c r="B25" s="1">
        <v>31.1</v>
      </c>
      <c r="C25" s="1">
        <v>11.76</v>
      </c>
      <c r="D25" s="10">
        <v>31.1</v>
      </c>
      <c r="E25" s="9"/>
      <c r="F25" s="1">
        <f t="shared" si="1"/>
        <v>2.4000000000000008</v>
      </c>
      <c r="G25" s="1">
        <f t="shared" si="0"/>
        <v>0.84852813742385724</v>
      </c>
      <c r="H25" s="1">
        <f t="shared" si="2"/>
        <v>31.1</v>
      </c>
      <c r="I25" s="1">
        <f t="shared" si="3"/>
        <v>31.205782312925173</v>
      </c>
      <c r="J25" s="1">
        <f t="shared" si="4"/>
        <v>1.2334682055603152</v>
      </c>
      <c r="K25" s="1">
        <f t="shared" si="5"/>
        <v>4.8483459962386277</v>
      </c>
      <c r="L25" s="1">
        <f t="shared" si="6"/>
        <v>7.1254265686221938</v>
      </c>
      <c r="M25" s="1">
        <v>7.1254265686221938</v>
      </c>
      <c r="O25" s="1">
        <v>0.84852813742385724</v>
      </c>
      <c r="P25" s="1">
        <f t="shared" si="8"/>
        <v>1.1340468600345444</v>
      </c>
      <c r="Q25" s="1"/>
      <c r="R25" s="1">
        <v>7.1254265686221938</v>
      </c>
    </row>
    <row r="26" spans="1:18">
      <c r="A26" s="1">
        <f t="shared" si="9"/>
        <v>2.5000000000000009</v>
      </c>
      <c r="B26" s="1">
        <v>20.440000000000001</v>
      </c>
      <c r="C26" s="1">
        <v>11.76</v>
      </c>
      <c r="D26" s="10">
        <v>20.440000000000001</v>
      </c>
      <c r="E26" s="9"/>
      <c r="F26" s="1">
        <f t="shared" si="1"/>
        <v>2.5000000000000009</v>
      </c>
      <c r="G26" s="1">
        <f t="shared" si="0"/>
        <v>0.88388347648318466</v>
      </c>
      <c r="H26" s="1">
        <f t="shared" si="2"/>
        <v>20.440000000000001</v>
      </c>
      <c r="I26" s="1">
        <f t="shared" si="3"/>
        <v>20.509523809523813</v>
      </c>
      <c r="J26" s="1">
        <f t="shared" si="4"/>
        <v>0.97606254669078374</v>
      </c>
      <c r="K26" s="1">
        <f t="shared" si="5"/>
        <v>5.1057516551081585</v>
      </c>
      <c r="L26" s="1">
        <f t="shared" si="6"/>
        <v>6.868020909752663</v>
      </c>
      <c r="M26" s="1">
        <v>6.868020909752663</v>
      </c>
      <c r="O26" s="1">
        <v>0.88388347648318466</v>
      </c>
      <c r="P26" s="1">
        <f t="shared" si="8"/>
        <v>1.0930794770456325</v>
      </c>
      <c r="Q26" s="1"/>
      <c r="R26" s="1">
        <v>6.868020909752663</v>
      </c>
    </row>
    <row r="27" spans="1:18">
      <c r="A27" s="1">
        <f t="shared" si="9"/>
        <v>2.600000000000001</v>
      </c>
      <c r="B27" s="1">
        <v>11.61</v>
      </c>
      <c r="C27" s="1">
        <v>11.76</v>
      </c>
      <c r="D27" s="10">
        <v>11.61</v>
      </c>
      <c r="E27" s="9" t="s">
        <v>16</v>
      </c>
      <c r="F27" s="1">
        <f t="shared" si="1"/>
        <v>2.600000000000001</v>
      </c>
      <c r="G27" s="1">
        <f t="shared" si="0"/>
        <v>0.91923881554251208</v>
      </c>
      <c r="H27" s="1">
        <f t="shared" si="2"/>
        <v>11.61</v>
      </c>
      <c r="I27" s="1">
        <f t="shared" si="3"/>
        <v>11.649489795918367</v>
      </c>
      <c r="J27" s="1">
        <f t="shared" si="4"/>
        <v>0.72236828177370838</v>
      </c>
      <c r="K27" s="1">
        <f t="shared" si="5"/>
        <v>5.3594459200252338</v>
      </c>
      <c r="L27" s="1">
        <f t="shared" si="6"/>
        <v>6.6143266448355877</v>
      </c>
      <c r="M27" s="1">
        <v>6.6143266448355877</v>
      </c>
      <c r="O27" s="1">
        <v>0.91923881554251208</v>
      </c>
      <c r="P27" s="1">
        <f t="shared" si="8"/>
        <v>1.0527027807500151</v>
      </c>
      <c r="Q27" s="1"/>
      <c r="R27" s="1">
        <v>6.6143266448355877</v>
      </c>
    </row>
    <row r="28" spans="1:18">
      <c r="A28" s="1">
        <f t="shared" si="9"/>
        <v>2.7000000000000011</v>
      </c>
      <c r="B28" s="1">
        <v>5.32</v>
      </c>
      <c r="C28" s="1">
        <v>11.8</v>
      </c>
      <c r="D28" s="1"/>
      <c r="E28" s="9"/>
      <c r="F28" s="1">
        <f t="shared" si="1"/>
        <v>2.7000000000000011</v>
      </c>
      <c r="G28" s="1">
        <f t="shared" si="0"/>
        <v>0.9545941546018395</v>
      </c>
      <c r="H28" s="1">
        <f t="shared" si="2"/>
        <v>5.32</v>
      </c>
      <c r="I28" s="1">
        <f t="shared" si="3"/>
        <v>5.32</v>
      </c>
      <c r="J28" s="1">
        <f t="shared" si="4"/>
        <v>0.48227424499136995</v>
      </c>
      <c r="K28" s="1">
        <f t="shared" si="5"/>
        <v>5.5995399568075728</v>
      </c>
      <c r="L28" s="1">
        <f t="shared" si="6"/>
        <v>6.3742326080532488</v>
      </c>
      <c r="M28" s="1">
        <v>6.3742326080532488</v>
      </c>
      <c r="O28" s="1">
        <v>0.9545941546018395</v>
      </c>
      <c r="P28" s="1">
        <f t="shared" si="8"/>
        <v>1.0144906279892185</v>
      </c>
      <c r="Q28" s="1"/>
      <c r="R28" s="1">
        <v>6.3742326080532488</v>
      </c>
    </row>
    <row r="29" spans="1:18">
      <c r="A29" s="1">
        <f t="shared" si="9"/>
        <v>2.8000000000000012</v>
      </c>
      <c r="B29" s="1">
        <v>1.4</v>
      </c>
      <c r="C29" s="1">
        <v>11.8</v>
      </c>
      <c r="D29" s="1"/>
      <c r="E29" s="9"/>
      <c r="F29" s="1">
        <f t="shared" si="1"/>
        <v>2.8000000000000012</v>
      </c>
      <c r="G29" s="1">
        <f t="shared" si="0"/>
        <v>0.98994949366116691</v>
      </c>
      <c r="H29" s="1">
        <f t="shared" si="2"/>
        <v>1.4</v>
      </c>
      <c r="I29" s="1">
        <f t="shared" si="3"/>
        <v>1.4</v>
      </c>
      <c r="J29" s="1">
        <f t="shared" si="4"/>
        <v>0.2456278276165742</v>
      </c>
      <c r="K29" s="1">
        <f t="shared" si="5"/>
        <v>5.8361863741823683</v>
      </c>
      <c r="L29" s="1">
        <f t="shared" si="6"/>
        <v>6.1375861906784532</v>
      </c>
      <c r="M29" s="1">
        <v>6.1375861906784532</v>
      </c>
      <c r="O29" s="1">
        <v>0.98994949366116691</v>
      </c>
      <c r="P29" s="1">
        <f t="shared" si="8"/>
        <v>0.97682718089903198</v>
      </c>
      <c r="Q29" s="1"/>
      <c r="R29" s="1">
        <v>6.1375861906784532</v>
      </c>
    </row>
    <row r="30" spans="1:18">
      <c r="A30" s="1">
        <f t="shared" si="9"/>
        <v>2.9000000000000012</v>
      </c>
      <c r="B30" s="1">
        <v>0.21</v>
      </c>
      <c r="C30" s="1">
        <v>11.8</v>
      </c>
      <c r="D30" s="1"/>
      <c r="E30" s="9"/>
      <c r="F30" s="1">
        <f t="shared" si="1"/>
        <v>2.9000000000000012</v>
      </c>
      <c r="G30" s="1">
        <f t="shared" si="0"/>
        <v>1.0253048327204943</v>
      </c>
      <c r="H30" s="1">
        <f t="shared" si="2"/>
        <v>0.21</v>
      </c>
      <c r="I30" s="1">
        <f t="shared" si="3"/>
        <v>0.21</v>
      </c>
      <c r="J30" s="1">
        <f t="shared" si="4"/>
        <v>9.492791936853151E-2</v>
      </c>
      <c r="K30" s="1">
        <f t="shared" si="5"/>
        <v>5.9868862824304108</v>
      </c>
      <c r="L30" s="1">
        <f t="shared" si="6"/>
        <v>5.9868862824304108</v>
      </c>
      <c r="M30" s="1">
        <v>5.9868862824304108</v>
      </c>
      <c r="O30" s="1">
        <v>1.0253048327204943</v>
      </c>
      <c r="P30" s="1">
        <f t="shared" si="8"/>
        <v>0.95570845811230543</v>
      </c>
      <c r="Q30" s="1"/>
      <c r="R30" s="1">
        <v>6.0048933419584944</v>
      </c>
    </row>
    <row r="31" spans="1:18">
      <c r="A31" s="1">
        <f t="shared" si="9"/>
        <v>3.0000000000000013</v>
      </c>
      <c r="B31" s="1">
        <v>1.79</v>
      </c>
      <c r="C31" s="1">
        <v>11.8</v>
      </c>
      <c r="D31" s="1"/>
      <c r="E31" s="9"/>
      <c r="F31" s="1">
        <f t="shared" si="1"/>
        <v>3.0000000000000013</v>
      </c>
      <c r="G31" s="1">
        <f t="shared" si="0"/>
        <v>1.0606601717798216</v>
      </c>
      <c r="H31" s="1">
        <f t="shared" si="2"/>
        <v>1.79</v>
      </c>
      <c r="I31" s="1">
        <f t="shared" si="3"/>
        <v>1.7900000000000003</v>
      </c>
      <c r="J31" s="1">
        <f t="shared" si="4"/>
        <v>0.27793709995732385</v>
      </c>
      <c r="K31" s="1">
        <f t="shared" si="5"/>
        <v>5.8038771018416186</v>
      </c>
      <c r="L31" s="1">
        <v>6.0048933419584944</v>
      </c>
      <c r="M31" s="1">
        <v>6.0048933419584944</v>
      </c>
      <c r="O31" s="1">
        <v>1.0606601717798216</v>
      </c>
      <c r="P31" s="1">
        <f t="shared" si="8"/>
        <v>0.95284254557786086</v>
      </c>
      <c r="Q31" s="1"/>
      <c r="R31" s="1">
        <v>5.9868862824304108</v>
      </c>
    </row>
    <row r="32" spans="1:18">
      <c r="A32" s="1">
        <f t="shared" si="9"/>
        <v>3.1000000000000014</v>
      </c>
      <c r="B32" s="1">
        <v>5.78</v>
      </c>
      <c r="C32" s="1">
        <v>11.8</v>
      </c>
      <c r="D32" s="1"/>
      <c r="E32" s="9"/>
      <c r="F32" s="1">
        <f t="shared" si="1"/>
        <v>3.1000000000000014</v>
      </c>
      <c r="G32" s="1">
        <f t="shared" si="0"/>
        <v>1.0960155108391492</v>
      </c>
      <c r="H32" s="1">
        <f t="shared" si="2"/>
        <v>5.78</v>
      </c>
      <c r="I32" s="1">
        <f t="shared" si="3"/>
        <v>5.78</v>
      </c>
      <c r="J32" s="1">
        <f t="shared" si="4"/>
        <v>0.50312451103548228</v>
      </c>
      <c r="K32" s="1">
        <f t="shared" si="5"/>
        <v>5.5786896907634604</v>
      </c>
      <c r="L32" s="1">
        <v>5.7794087237419562</v>
      </c>
      <c r="M32" s="1">
        <v>5.7794087237419562</v>
      </c>
      <c r="O32" s="1">
        <v>1.0960155108391492</v>
      </c>
      <c r="P32" s="1">
        <f t="shared" si="8"/>
        <v>0.91982146653195451</v>
      </c>
      <c r="Q32" s="1"/>
      <c r="R32" s="1">
        <v>5.7794087237419562</v>
      </c>
    </row>
    <row r="33" spans="1:18">
      <c r="A33" s="1">
        <f t="shared" si="9"/>
        <v>3.2000000000000015</v>
      </c>
      <c r="B33" s="1">
        <v>11.69</v>
      </c>
      <c r="C33" s="1">
        <v>11.8</v>
      </c>
      <c r="D33" s="1"/>
      <c r="E33" s="9"/>
      <c r="F33" s="1">
        <f t="shared" si="1"/>
        <v>3.2000000000000015</v>
      </c>
      <c r="G33" s="1">
        <f t="shared" si="0"/>
        <v>1.1313708498984765</v>
      </c>
      <c r="H33" s="1">
        <f t="shared" si="2"/>
        <v>11.69</v>
      </c>
      <c r="I33" s="1">
        <f t="shared" si="3"/>
        <v>11.69</v>
      </c>
      <c r="J33" s="1">
        <f t="shared" si="4"/>
        <v>0.72368091977198912</v>
      </c>
      <c r="K33" s="1">
        <f t="shared" si="5"/>
        <v>5.3581332820269534</v>
      </c>
      <c r="L33" s="1">
        <v>5.5585440034877616</v>
      </c>
      <c r="M33" s="1">
        <v>5.5585440034877616</v>
      </c>
      <c r="O33" s="1">
        <v>1.1313708498984765</v>
      </c>
      <c r="P33" s="1">
        <f t="shared" si="8"/>
        <v>0.88466975454889074</v>
      </c>
      <c r="Q33" s="1"/>
      <c r="R33" s="1">
        <v>5.5585440034877616</v>
      </c>
    </row>
    <row r="34" spans="1:18">
      <c r="A34" s="1">
        <f t="shared" si="9"/>
        <v>3.3000000000000016</v>
      </c>
      <c r="B34" s="1">
        <v>18.850000000000001</v>
      </c>
      <c r="C34" s="1">
        <v>11.8</v>
      </c>
      <c r="D34" s="1"/>
      <c r="E34" s="9"/>
      <c r="F34" s="1">
        <f t="shared" si="1"/>
        <v>3.3000000000000016</v>
      </c>
      <c r="G34" s="1">
        <f t="shared" si="0"/>
        <v>1.166726188957804</v>
      </c>
      <c r="H34" s="1">
        <f t="shared" si="2"/>
        <v>18.850000000000001</v>
      </c>
      <c r="I34" s="1">
        <f t="shared" si="3"/>
        <v>18.850000000000001</v>
      </c>
      <c r="J34" s="1">
        <f t="shared" si="4"/>
        <v>0.93245096313323905</v>
      </c>
      <c r="K34" s="1">
        <f t="shared" si="5"/>
        <v>5.1493632386657033</v>
      </c>
      <c r="L34" s="1">
        <v>5.3494574158357135</v>
      </c>
      <c r="M34" s="1">
        <v>5.3494574158357135</v>
      </c>
      <c r="O34" s="1">
        <v>1.166726188957804</v>
      </c>
      <c r="P34" s="1">
        <f t="shared" si="8"/>
        <v>0.85139259058985051</v>
      </c>
      <c r="Q34" s="1"/>
      <c r="R34" s="1">
        <v>5.3494574158357135</v>
      </c>
    </row>
    <row r="35" spans="1:18">
      <c r="A35" s="1">
        <f t="shared" si="9"/>
        <v>3.4000000000000017</v>
      </c>
      <c r="B35" s="1">
        <v>26.72</v>
      </c>
      <c r="C35" s="1">
        <v>11.8</v>
      </c>
      <c r="D35" s="1"/>
      <c r="E35" s="9"/>
      <c r="F35" s="1">
        <f t="shared" si="1"/>
        <v>3.4000000000000017</v>
      </c>
      <c r="G35" s="1">
        <f t="shared" si="0"/>
        <v>1.2020815280171313</v>
      </c>
      <c r="H35" s="1">
        <f t="shared" si="2"/>
        <v>26.72</v>
      </c>
      <c r="I35" s="1">
        <f t="shared" si="3"/>
        <v>26.72</v>
      </c>
      <c r="J35" s="1">
        <f t="shared" si="4"/>
        <v>1.1294696231871644</v>
      </c>
      <c r="K35" s="1">
        <f t="shared" si="5"/>
        <v>4.9523445786117781</v>
      </c>
      <c r="L35" s="1">
        <v>5.1521078726275</v>
      </c>
      <c r="M35" s="1">
        <v>5.1521078726275</v>
      </c>
      <c r="O35" s="1">
        <v>1.2020815280171313</v>
      </c>
      <c r="P35" s="1">
        <f t="shared" si="8"/>
        <v>0.81998343527133577</v>
      </c>
      <c r="Q35" s="1"/>
      <c r="R35" s="1">
        <v>5.1521078726275</v>
      </c>
    </row>
    <row r="36" spans="1:18">
      <c r="A36" s="1">
        <f t="shared" si="9"/>
        <v>3.5000000000000018</v>
      </c>
      <c r="B36" s="1">
        <v>34.83</v>
      </c>
      <c r="C36" s="1">
        <v>11.8</v>
      </c>
      <c r="D36" s="1"/>
      <c r="E36" s="9"/>
      <c r="F36" s="1">
        <f t="shared" si="1"/>
        <v>3.5000000000000018</v>
      </c>
      <c r="G36" s="1">
        <f t="shared" si="0"/>
        <v>1.2374368670764586</v>
      </c>
      <c r="H36" s="1">
        <f t="shared" si="2"/>
        <v>34.83</v>
      </c>
      <c r="I36" s="1">
        <f t="shared" si="3"/>
        <v>34.83</v>
      </c>
      <c r="J36" s="1">
        <f t="shared" si="4"/>
        <v>1.3147415340101882</v>
      </c>
      <c r="K36" s="1">
        <f t="shared" si="5"/>
        <v>4.7670726677887547</v>
      </c>
      <c r="L36" s="1">
        <v>4.9664846631938335</v>
      </c>
      <c r="M36" s="1">
        <v>4.9664846631938335</v>
      </c>
      <c r="O36" s="1">
        <v>1.2374368670764586</v>
      </c>
      <c r="P36" s="1">
        <f t="shared" si="8"/>
        <v>0.79044058393738559</v>
      </c>
      <c r="Q36" s="1"/>
      <c r="R36" s="1">
        <v>4.9664846631938335</v>
      </c>
    </row>
    <row r="37" spans="1:18">
      <c r="A37" s="1">
        <f t="shared" si="9"/>
        <v>3.6000000000000019</v>
      </c>
      <c r="B37" s="1">
        <v>42.87</v>
      </c>
      <c r="C37" s="1">
        <v>11.8</v>
      </c>
      <c r="D37" s="1"/>
      <c r="E37" s="9"/>
      <c r="F37" s="1">
        <f t="shared" si="1"/>
        <v>3.6000000000000019</v>
      </c>
      <c r="G37" s="1">
        <f t="shared" si="0"/>
        <v>1.2727922061357861</v>
      </c>
      <c r="H37" s="1">
        <f t="shared" si="2"/>
        <v>42.87</v>
      </c>
      <c r="I37" s="1">
        <f t="shared" si="3"/>
        <v>42.87</v>
      </c>
      <c r="J37" s="1">
        <f t="shared" si="4"/>
        <v>1.4898146071634328</v>
      </c>
      <c r="K37" s="1">
        <f t="shared" si="5"/>
        <v>4.5919995946355101</v>
      </c>
      <c r="L37" s="1">
        <v>4.7910299271741206</v>
      </c>
      <c r="M37" s="1">
        <v>4.7910299271741206</v>
      </c>
      <c r="O37" s="1">
        <v>1.2727922061357861</v>
      </c>
      <c r="P37" s="1">
        <f t="shared" si="8"/>
        <v>0.76251609541096466</v>
      </c>
      <c r="Q37" s="1"/>
      <c r="R37" s="1">
        <v>4.7910299271741206</v>
      </c>
    </row>
    <row r="38" spans="1:18">
      <c r="A38" s="1">
        <f t="shared" si="9"/>
        <v>3.700000000000002</v>
      </c>
      <c r="B38" s="1">
        <v>50.61</v>
      </c>
      <c r="C38" s="1">
        <v>11.8</v>
      </c>
      <c r="D38" s="1"/>
      <c r="E38" s="9"/>
      <c r="F38" s="1">
        <f t="shared" si="1"/>
        <v>3.700000000000002</v>
      </c>
      <c r="G38" s="1">
        <f t="shared" si="0"/>
        <v>1.3081475451951134</v>
      </c>
      <c r="H38" s="1">
        <f t="shared" si="2"/>
        <v>50.61</v>
      </c>
      <c r="I38" s="1">
        <f t="shared" si="3"/>
        <v>50.609999999999992</v>
      </c>
      <c r="J38" s="1">
        <f t="shared" si="4"/>
        <v>1.6559468527667291</v>
      </c>
      <c r="K38" s="1">
        <f t="shared" si="5"/>
        <v>4.4258673490322131</v>
      </c>
      <c r="L38" s="1">
        <v>4.6244735156317933</v>
      </c>
      <c r="M38" s="1">
        <v>4.6244735156317933</v>
      </c>
      <c r="O38" s="1">
        <v>1.3081475451951134</v>
      </c>
      <c r="P38" s="1">
        <f t="shared" si="8"/>
        <v>0.7360078192103553</v>
      </c>
      <c r="Q38" s="1"/>
      <c r="R38" s="1">
        <v>4.6244735156317933</v>
      </c>
    </row>
    <row r="39" spans="1:18">
      <c r="A39" s="1">
        <f t="shared" si="9"/>
        <v>3.800000000000002</v>
      </c>
      <c r="B39" s="1">
        <v>57.9</v>
      </c>
      <c r="C39" s="1">
        <v>11.8</v>
      </c>
      <c r="D39" s="1"/>
      <c r="E39" s="9"/>
      <c r="F39" s="1">
        <f t="shared" si="1"/>
        <v>3.800000000000002</v>
      </c>
      <c r="G39" s="1">
        <f t="shared" si="0"/>
        <v>1.343502884254441</v>
      </c>
      <c r="H39" s="1">
        <f t="shared" si="2"/>
        <v>57.9</v>
      </c>
      <c r="I39" s="1">
        <f t="shared" si="3"/>
        <v>57.9</v>
      </c>
      <c r="J39" s="1">
        <f t="shared" si="4"/>
        <v>1.8145436199505434</v>
      </c>
      <c r="K39" s="1">
        <f t="shared" si="5"/>
        <v>4.2672705818483987</v>
      </c>
      <c r="L39" s="1">
        <v>4.4653930071359662</v>
      </c>
      <c r="M39" s="1">
        <v>4.4653930071359662</v>
      </c>
      <c r="O39" s="1">
        <v>1.343502884254441</v>
      </c>
      <c r="P39" s="1">
        <f t="shared" si="8"/>
        <v>0.71068936993367215</v>
      </c>
      <c r="Q39" s="1"/>
      <c r="R39" s="1">
        <v>4.4653930071359662</v>
      </c>
    </row>
    <row r="40" spans="1:18">
      <c r="A40" s="1">
        <f t="shared" si="9"/>
        <v>3.9000000000000021</v>
      </c>
      <c r="B40" s="1">
        <v>64.64</v>
      </c>
      <c r="C40" s="1">
        <v>11.8</v>
      </c>
      <c r="D40" s="1"/>
      <c r="E40" s="9"/>
      <c r="F40" s="1">
        <f t="shared" si="1"/>
        <v>3.9000000000000021</v>
      </c>
      <c r="G40" s="1">
        <f t="shared" si="0"/>
        <v>1.3788582233137683</v>
      </c>
      <c r="H40" s="1">
        <f t="shared" si="2"/>
        <v>64.64</v>
      </c>
      <c r="I40" s="1">
        <f t="shared" si="3"/>
        <v>64.64</v>
      </c>
      <c r="J40" s="1">
        <f t="shared" si="4"/>
        <v>1.9669170210570652</v>
      </c>
      <c r="K40" s="1">
        <f t="shared" si="5"/>
        <v>4.1148971807418775</v>
      </c>
      <c r="L40" s="1">
        <v>4.3124517153212683</v>
      </c>
      <c r="M40" s="1">
        <v>4.3124517153212683</v>
      </c>
      <c r="O40" s="1">
        <v>1.3788582233137683</v>
      </c>
      <c r="P40" s="1">
        <f t="shared" si="8"/>
        <v>0.68634800733850287</v>
      </c>
      <c r="Q40" s="1"/>
      <c r="R40" s="1">
        <v>4.3124517153212683</v>
      </c>
    </row>
    <row r="41" spans="1:18">
      <c r="A41" s="1">
        <f t="shared" si="9"/>
        <v>4.0000000000000018</v>
      </c>
      <c r="B41" s="1">
        <v>70.760000000000005</v>
      </c>
      <c r="C41" s="1">
        <v>11.8</v>
      </c>
      <c r="D41" s="1"/>
      <c r="E41" s="9"/>
      <c r="F41" s="1">
        <f t="shared" si="1"/>
        <v>4.0000000000000018</v>
      </c>
      <c r="G41" s="1">
        <f t="shared" si="0"/>
        <v>1.4142135623730956</v>
      </c>
      <c r="H41" s="1">
        <f t="shared" si="2"/>
        <v>70.760000000000005</v>
      </c>
      <c r="I41" s="1">
        <f t="shared" si="3"/>
        <v>70.760000000000005</v>
      </c>
      <c r="J41" s="1">
        <f t="shared" si="4"/>
        <v>2.1141989009352287</v>
      </c>
      <c r="K41" s="1">
        <f t="shared" si="5"/>
        <v>3.9676153008637138</v>
      </c>
      <c r="L41" s="1">
        <v>4.1644808218928056</v>
      </c>
      <c r="M41" s="1">
        <v>4.1644808218928056</v>
      </c>
      <c r="O41" s="1">
        <v>1.4142135623730956</v>
      </c>
      <c r="P41" s="1">
        <f t="shared" si="8"/>
        <v>0.66279770821563899</v>
      </c>
      <c r="Q41" s="1"/>
      <c r="R41" s="1">
        <v>4.1644808218928056</v>
      </c>
    </row>
    <row r="42" spans="1:18">
      <c r="A42" s="1">
        <f t="shared" si="9"/>
        <v>4.1000000000000014</v>
      </c>
      <c r="B42" s="1">
        <v>76.099999999999994</v>
      </c>
      <c r="C42" s="1">
        <v>11.8</v>
      </c>
      <c r="D42" s="1"/>
      <c r="E42" s="9"/>
      <c r="F42" s="1">
        <f t="shared" si="1"/>
        <v>4.1000000000000014</v>
      </c>
      <c r="G42" s="1">
        <f t="shared" si="0"/>
        <v>1.4495689014324229</v>
      </c>
      <c r="H42" s="1">
        <f t="shared" si="2"/>
        <v>76.099999999999994</v>
      </c>
      <c r="I42" s="1">
        <f t="shared" si="3"/>
        <v>76.099999999999994</v>
      </c>
      <c r="J42" s="1">
        <f t="shared" si="4"/>
        <v>2.2543312946878844</v>
      </c>
      <c r="K42" s="1">
        <f t="shared" si="5"/>
        <v>3.8274829071110581</v>
      </c>
      <c r="L42" s="1">
        <v>4.0235002306018748</v>
      </c>
      <c r="M42" s="1">
        <v>4.0235002306018748</v>
      </c>
      <c r="O42" s="1">
        <v>1.4495689014324229</v>
      </c>
      <c r="P42" s="1">
        <f t="shared" si="8"/>
        <v>0.64035995023166914</v>
      </c>
      <c r="Q42" s="1"/>
      <c r="R42" s="1">
        <v>4.0235002306018748</v>
      </c>
    </row>
    <row r="43" spans="1:18">
      <c r="A43" s="1">
        <f t="shared" si="9"/>
        <v>4.2000000000000011</v>
      </c>
      <c r="B43" s="1">
        <v>80.72</v>
      </c>
      <c r="C43" s="1">
        <v>11.8</v>
      </c>
      <c r="D43" s="1"/>
      <c r="E43" s="9"/>
      <c r="F43" s="1">
        <f t="shared" si="1"/>
        <v>4.2000000000000011</v>
      </c>
      <c r="G43" s="1">
        <f t="shared" si="0"/>
        <v>1.48492424049175</v>
      </c>
      <c r="H43" s="1">
        <f t="shared" si="2"/>
        <v>80.72</v>
      </c>
      <c r="I43" s="1">
        <f t="shared" si="3"/>
        <v>80.72</v>
      </c>
      <c r="J43" s="1">
        <f t="shared" si="4"/>
        <v>2.3899786932527318</v>
      </c>
      <c r="K43" s="1">
        <f t="shared" si="5"/>
        <v>3.6918355085462107</v>
      </c>
      <c r="L43" s="1">
        <v>3.8867500353118629</v>
      </c>
      <c r="M43" s="1">
        <v>3.8867500353118629</v>
      </c>
      <c r="O43" s="1">
        <v>1.48492424049175</v>
      </c>
      <c r="P43" s="1">
        <f t="shared" si="8"/>
        <v>0.61859548068248171</v>
      </c>
      <c r="Q43" s="1"/>
      <c r="R43" s="1">
        <v>3.8867500353118629</v>
      </c>
    </row>
    <row r="44" spans="1:18">
      <c r="A44" s="1">
        <f t="shared" si="9"/>
        <v>4.3000000000000007</v>
      </c>
      <c r="B44" s="1">
        <v>84.62</v>
      </c>
      <c r="C44" s="1">
        <v>11.8</v>
      </c>
      <c r="D44" s="1"/>
      <c r="E44" s="9"/>
      <c r="F44" s="1">
        <f t="shared" si="1"/>
        <v>4.3000000000000007</v>
      </c>
      <c r="G44" s="1">
        <f t="shared" si="0"/>
        <v>1.5202795795510773</v>
      </c>
      <c r="H44" s="1">
        <f t="shared" si="2"/>
        <v>84.62</v>
      </c>
      <c r="I44" s="1">
        <f t="shared" si="3"/>
        <v>84.62</v>
      </c>
      <c r="J44" s="1">
        <f t="shared" si="4"/>
        <v>2.5221486941914928</v>
      </c>
      <c r="K44" s="1">
        <f t="shared" si="5"/>
        <v>3.5596655076074497</v>
      </c>
      <c r="L44" s="1">
        <v>3.753059038062041</v>
      </c>
      <c r="M44" s="1">
        <v>3.753059038062041</v>
      </c>
      <c r="O44" s="1">
        <v>1.5202795795510773</v>
      </c>
      <c r="P44" s="1">
        <f t="shared" si="8"/>
        <v>0.59731789762328757</v>
      </c>
      <c r="Q44" s="1"/>
      <c r="R44" s="1">
        <v>3.753059038062041</v>
      </c>
    </row>
    <row r="45" spans="1:18">
      <c r="A45" s="1">
        <f t="shared" si="9"/>
        <v>4.4000000000000004</v>
      </c>
      <c r="B45" s="1">
        <v>87.72</v>
      </c>
      <c r="C45" s="1">
        <v>11.8</v>
      </c>
      <c r="D45" s="1"/>
      <c r="E45" s="9"/>
      <c r="F45" s="1">
        <f t="shared" si="1"/>
        <v>4.4000000000000004</v>
      </c>
      <c r="G45" s="1">
        <f t="shared" si="0"/>
        <v>1.5556349186104046</v>
      </c>
      <c r="H45" s="1">
        <f t="shared" si="2"/>
        <v>87.72</v>
      </c>
      <c r="I45" s="1">
        <f t="shared" si="3"/>
        <v>87.72</v>
      </c>
      <c r="J45" s="1">
        <f t="shared" si="4"/>
        <v>2.6480573172800259</v>
      </c>
      <c r="K45" s="1">
        <f t="shared" si="5"/>
        <v>3.4337568845189166</v>
      </c>
      <c r="L45" s="1">
        <v>3.6249535232297019</v>
      </c>
      <c r="M45" s="1">
        <v>3.6249535232297019</v>
      </c>
      <c r="O45" s="1">
        <v>1.5556349186104046</v>
      </c>
      <c r="P45" s="1">
        <f t="shared" si="8"/>
        <v>0.57692927170038877</v>
      </c>
      <c r="Q45" s="1"/>
      <c r="R45" s="1">
        <v>3.6249535232297019</v>
      </c>
    </row>
    <row r="46" spans="1:18">
      <c r="A46" s="1">
        <f t="shared" si="9"/>
        <v>4.5</v>
      </c>
      <c r="B46" s="1">
        <v>90.1</v>
      </c>
      <c r="C46" s="1">
        <v>11.8</v>
      </c>
      <c r="D46" s="1"/>
      <c r="E46" s="9"/>
      <c r="F46" s="1">
        <f t="shared" si="1"/>
        <v>4.5</v>
      </c>
      <c r="G46" s="1">
        <f t="shared" si="0"/>
        <v>1.5909902576697319</v>
      </c>
      <c r="H46" s="1">
        <f t="shared" si="2"/>
        <v>90.1</v>
      </c>
      <c r="I46" s="1">
        <f t="shared" si="3"/>
        <v>90.1</v>
      </c>
      <c r="J46" s="1">
        <f t="shared" si="4"/>
        <v>2.7698321667658679</v>
      </c>
      <c r="K46" s="1">
        <f t="shared" si="5"/>
        <v>3.3119820350330746</v>
      </c>
      <c r="L46" s="1">
        <v>3.4996105481508701</v>
      </c>
      <c r="M46" s="1">
        <v>3.4996105481508701</v>
      </c>
      <c r="O46" s="1">
        <v>1.5909902576697319</v>
      </c>
      <c r="P46" s="1">
        <f t="shared" si="8"/>
        <v>0.55698031763474842</v>
      </c>
      <c r="Q46" s="1"/>
      <c r="R46" s="1">
        <v>3.4996105481508701</v>
      </c>
    </row>
    <row r="47" spans="1:18">
      <c r="A47" s="1">
        <f t="shared" si="9"/>
        <v>4.5999999999999996</v>
      </c>
      <c r="B47" s="1">
        <v>91.72</v>
      </c>
      <c r="C47" s="1">
        <v>11.8</v>
      </c>
      <c r="D47" s="1"/>
      <c r="E47" s="9"/>
      <c r="F47" s="1">
        <f t="shared" si="1"/>
        <v>4.5999999999999996</v>
      </c>
      <c r="G47" s="1">
        <f t="shared" si="0"/>
        <v>1.626345596729059</v>
      </c>
      <c r="H47" s="1">
        <f t="shared" si="2"/>
        <v>91.72</v>
      </c>
      <c r="I47" s="1">
        <f t="shared" si="3"/>
        <v>91.72</v>
      </c>
      <c r="J47" s="1">
        <f t="shared" si="4"/>
        <v>2.8817137326119227</v>
      </c>
      <c r="K47" s="1">
        <f t="shared" si="5"/>
        <v>3.2001004691870198</v>
      </c>
      <c r="L47" s="1">
        <v>3.3812759024550818</v>
      </c>
      <c r="M47" s="1">
        <v>3.3812759024550818</v>
      </c>
      <c r="O47" s="1">
        <v>1.626345596729059</v>
      </c>
      <c r="P47" s="1">
        <f t="shared" si="8"/>
        <v>0.53814677383323561</v>
      </c>
      <c r="Q47" s="1"/>
      <c r="R47" s="1">
        <v>3.3812759024550818</v>
      </c>
    </row>
    <row r="48" spans="1:18">
      <c r="A48" s="1">
        <f t="shared" si="9"/>
        <v>4.6999999999999993</v>
      </c>
      <c r="B48" s="1">
        <v>92.68</v>
      </c>
      <c r="C48" s="1">
        <v>11.8</v>
      </c>
      <c r="D48" s="1"/>
      <c r="E48" s="9"/>
      <c r="F48" s="1">
        <f t="shared" si="1"/>
        <v>4.6999999999999993</v>
      </c>
      <c r="G48" s="1">
        <f t="shared" si="0"/>
        <v>1.6617009357883863</v>
      </c>
      <c r="H48" s="1">
        <f t="shared" si="2"/>
        <v>92.68</v>
      </c>
      <c r="I48" s="1">
        <f t="shared" si="3"/>
        <v>92.680000000000021</v>
      </c>
      <c r="J48" s="1">
        <f t="shared" si="4"/>
        <v>2.9801904421849121</v>
      </c>
      <c r="K48" s="1">
        <f t="shared" si="5"/>
        <v>3.1016237596140304</v>
      </c>
      <c r="L48" s="1">
        <v>3.2677931048475095</v>
      </c>
      <c r="M48" s="1">
        <v>3.2677931048475095</v>
      </c>
      <c r="O48" s="1">
        <v>1.6617009357883863</v>
      </c>
      <c r="P48" s="1">
        <f t="shared" si="8"/>
        <v>0.52008542563809335</v>
      </c>
      <c r="Q48" s="1"/>
      <c r="R48" s="1">
        <v>3.2677931048475095</v>
      </c>
    </row>
    <row r="49" spans="1:18">
      <c r="A49" s="1">
        <f t="shared" si="9"/>
        <v>4.7999999999999989</v>
      </c>
      <c r="B49" s="1">
        <v>93.05</v>
      </c>
      <c r="C49" s="1">
        <v>11.8</v>
      </c>
      <c r="D49" s="1"/>
      <c r="E49" s="9"/>
      <c r="F49" s="1">
        <f t="shared" si="1"/>
        <v>4.7999999999999989</v>
      </c>
      <c r="G49" s="1">
        <f t="shared" si="0"/>
        <v>1.6970562748477136</v>
      </c>
      <c r="H49" s="1">
        <f t="shared" si="2"/>
        <v>93.05</v>
      </c>
      <c r="I49" s="1">
        <f t="shared" si="3"/>
        <v>93.05</v>
      </c>
      <c r="J49" s="1">
        <f t="shared" si="4"/>
        <v>3.0409071008994712</v>
      </c>
      <c r="K49" s="1">
        <f t="shared" si="5"/>
        <v>3.0409071008994712</v>
      </c>
      <c r="L49" s="1">
        <v>3.1415926535897931</v>
      </c>
      <c r="M49" s="1">
        <v>3.1415926535897931</v>
      </c>
      <c r="O49" s="1">
        <v>1.6970562748477136</v>
      </c>
      <c r="P49" s="1">
        <f t="shared" si="8"/>
        <v>0.5</v>
      </c>
      <c r="Q49" s="1"/>
      <c r="R49" s="1">
        <v>3.1415926535897931</v>
      </c>
    </row>
    <row r="50" spans="1:18">
      <c r="A50" s="1">
        <f t="shared" si="9"/>
        <v>4.8999999999999986</v>
      </c>
      <c r="B50" s="1">
        <v>92.86</v>
      </c>
      <c r="C50" s="1">
        <v>11.8</v>
      </c>
      <c r="D50" s="1"/>
      <c r="E50" s="9"/>
      <c r="F50" s="1">
        <f t="shared" si="1"/>
        <v>4.8999999999999986</v>
      </c>
      <c r="G50" s="1">
        <f t="shared" si="0"/>
        <v>1.7324116139070409</v>
      </c>
      <c r="H50" s="1">
        <f t="shared" si="2"/>
        <v>92.86</v>
      </c>
      <c r="I50" s="1">
        <f t="shared" si="3"/>
        <v>92.86</v>
      </c>
      <c r="J50" s="1">
        <f t="shared" si="4"/>
        <v>3.0063007810832238</v>
      </c>
      <c r="K50" s="1">
        <v>3.0511868071334503</v>
      </c>
      <c r="L50" s="1">
        <v>3.0511868071334503</v>
      </c>
      <c r="M50" s="1">
        <v>3.0511868071334503</v>
      </c>
      <c r="O50" s="1">
        <v>1.7324116139070409</v>
      </c>
      <c r="P50" s="1">
        <f t="shared" si="8"/>
        <v>0.48561146265206612</v>
      </c>
      <c r="Q50" s="1"/>
      <c r="R50" s="1">
        <v>3.0511868071334503</v>
      </c>
    </row>
    <row r="51" spans="1:18">
      <c r="A51" s="1">
        <f t="shared" si="9"/>
        <v>4.9999999999999982</v>
      </c>
      <c r="B51" s="1">
        <v>92.25</v>
      </c>
      <c r="C51" s="1">
        <v>11.8</v>
      </c>
      <c r="D51" s="1"/>
      <c r="E51" s="9"/>
      <c r="F51" s="1">
        <f t="shared" si="1"/>
        <v>4.9999999999999982</v>
      </c>
      <c r="G51" s="1">
        <f t="shared" si="0"/>
        <v>1.767766952966368</v>
      </c>
      <c r="H51" s="1">
        <f t="shared" si="2"/>
        <v>92.25</v>
      </c>
      <c r="I51" s="1">
        <f t="shared" si="3"/>
        <v>92.249999999999986</v>
      </c>
      <c r="J51" s="1">
        <f t="shared" si="4"/>
        <v>2.9304113418830422</v>
      </c>
      <c r="K51" s="1">
        <v>2.9558801770908443</v>
      </c>
      <c r="L51" s="1">
        <v>2.9558801770908443</v>
      </c>
      <c r="M51" s="1">
        <v>2.9558801770908443</v>
      </c>
      <c r="O51" s="1">
        <v>1.767766952966368</v>
      </c>
      <c r="P51" s="1">
        <f t="shared" si="8"/>
        <v>0.47044294137135484</v>
      </c>
      <c r="Q51" s="1"/>
      <c r="R51" s="1">
        <v>2.9558801770908443</v>
      </c>
    </row>
    <row r="52" spans="1:18">
      <c r="A52" s="1">
        <f t="shared" si="9"/>
        <v>5.0999999999999979</v>
      </c>
      <c r="B52" s="1">
        <v>91.26</v>
      </c>
      <c r="C52" s="1">
        <v>11.79</v>
      </c>
      <c r="D52" s="1"/>
      <c r="E52" s="9"/>
      <c r="F52" s="1">
        <f t="shared" si="1"/>
        <v>5.0999999999999979</v>
      </c>
      <c r="G52" s="1">
        <f t="shared" si="0"/>
        <v>1.8031222920256953</v>
      </c>
      <c r="H52" s="1">
        <f t="shared" si="2"/>
        <v>91.26</v>
      </c>
      <c r="I52" s="1">
        <f t="shared" si="3"/>
        <v>91.337404580152693</v>
      </c>
      <c r="J52" s="1">
        <f t="shared" si="4"/>
        <v>2.8515038727676005</v>
      </c>
      <c r="K52" s="1">
        <v>2.8694225083566205</v>
      </c>
      <c r="L52" s="1">
        <v>2.8694225083566205</v>
      </c>
      <c r="M52" s="1">
        <v>2.8694225083566205</v>
      </c>
      <c r="O52" s="1">
        <v>1.8031222920256953</v>
      </c>
      <c r="P52" s="1">
        <f t="shared" si="8"/>
        <v>0.45668277602410151</v>
      </c>
      <c r="Q52" s="1"/>
      <c r="R52" s="1">
        <v>2.8694225083566205</v>
      </c>
    </row>
    <row r="53" spans="1:18">
      <c r="A53" s="1">
        <f t="shared" si="9"/>
        <v>5.1999999999999975</v>
      </c>
      <c r="B53" s="1">
        <v>89.99</v>
      </c>
      <c r="C53" s="1">
        <v>11.8</v>
      </c>
      <c r="D53" s="1"/>
      <c r="E53" s="9"/>
      <c r="F53" s="1">
        <f t="shared" si="1"/>
        <v>5.1999999999999975</v>
      </c>
      <c r="G53" s="1">
        <f t="shared" si="0"/>
        <v>1.8384776310850226</v>
      </c>
      <c r="H53" s="1">
        <f t="shared" si="2"/>
        <v>89.99</v>
      </c>
      <c r="I53" s="1">
        <f t="shared" si="3"/>
        <v>89.99</v>
      </c>
      <c r="J53" s="1">
        <f t="shared" si="4"/>
        <v>2.7633930899446888</v>
      </c>
      <c r="K53" s="1">
        <v>2.7768873413427753</v>
      </c>
      <c r="L53" s="1">
        <v>2.7768873413427753</v>
      </c>
      <c r="M53" s="1">
        <v>2.7768873413427753</v>
      </c>
      <c r="O53" s="1">
        <v>1.8384776310850226</v>
      </c>
      <c r="P53" s="1">
        <f t="shared" si="8"/>
        <v>0.44195534678401394</v>
      </c>
      <c r="Q53" s="1"/>
      <c r="R53" s="1">
        <v>2.7768873413427753</v>
      </c>
    </row>
    <row r="54" spans="1:18">
      <c r="A54" s="1">
        <f t="shared" si="9"/>
        <v>5.2999999999999972</v>
      </c>
      <c r="B54" s="1">
        <v>88.45</v>
      </c>
      <c r="C54" s="1">
        <v>11.8</v>
      </c>
      <c r="D54" s="1"/>
      <c r="E54" s="9"/>
      <c r="F54" s="1">
        <f t="shared" si="1"/>
        <v>5.2999999999999972</v>
      </c>
      <c r="G54" s="1">
        <f t="shared" si="0"/>
        <v>1.8738329701443499</v>
      </c>
      <c r="H54" s="1">
        <f t="shared" si="2"/>
        <v>88.45</v>
      </c>
      <c r="I54" s="1">
        <f t="shared" si="3"/>
        <v>88.45</v>
      </c>
      <c r="J54" s="1">
        <f t="shared" si="4"/>
        <v>2.6821826830424502</v>
      </c>
      <c r="K54" s="1">
        <v>2.6931615865263856</v>
      </c>
      <c r="L54" s="1">
        <v>2.6931615865263856</v>
      </c>
      <c r="M54" s="1">
        <v>2.6931615865263856</v>
      </c>
      <c r="O54" s="1">
        <v>1.8738329701443499</v>
      </c>
      <c r="P54" s="1">
        <f t="shared" si="8"/>
        <v>0.42862997904088546</v>
      </c>
      <c r="Q54" s="1"/>
      <c r="R54" s="1">
        <v>2.6931615865263856</v>
      </c>
    </row>
    <row r="55" spans="1:18">
      <c r="A55" s="1">
        <f t="shared" si="9"/>
        <v>5.3999999999999968</v>
      </c>
      <c r="B55" s="1">
        <v>86.75</v>
      </c>
      <c r="C55" s="1">
        <v>11.8</v>
      </c>
      <c r="D55" s="1"/>
      <c r="E55" s="9"/>
      <c r="F55" s="1">
        <f t="shared" si="1"/>
        <v>5.3999999999999968</v>
      </c>
      <c r="G55" s="1">
        <f t="shared" si="0"/>
        <v>1.909188309203677</v>
      </c>
      <c r="H55" s="1">
        <f t="shared" si="2"/>
        <v>86.75</v>
      </c>
      <c r="I55" s="1">
        <f t="shared" si="3"/>
        <v>86.75</v>
      </c>
      <c r="J55" s="1">
        <f t="shared" si="4"/>
        <v>2.6058060422251144</v>
      </c>
      <c r="K55" s="1">
        <v>2.6151280405473907</v>
      </c>
      <c r="L55" s="1">
        <v>2.6151280405473907</v>
      </c>
      <c r="M55" s="1">
        <v>2.6151280405473907</v>
      </c>
      <c r="O55" s="1">
        <v>1.909188309203677</v>
      </c>
      <c r="P55" s="1">
        <f t="shared" si="8"/>
        <v>0.41621055447133976</v>
      </c>
      <c r="Q55" s="1"/>
      <c r="R55" s="1">
        <v>2.6151280405473907</v>
      </c>
    </row>
    <row r="56" spans="1:18">
      <c r="A56" s="1">
        <f t="shared" si="9"/>
        <v>5.4999999999999964</v>
      </c>
      <c r="B56" s="1">
        <v>84.87</v>
      </c>
      <c r="C56" s="1">
        <v>11.8</v>
      </c>
      <c r="D56" s="1"/>
      <c r="E56" s="9"/>
      <c r="F56" s="1">
        <f t="shared" si="1"/>
        <v>5.4999999999999964</v>
      </c>
      <c r="G56" s="1">
        <f t="shared" si="0"/>
        <v>1.9445436482630043</v>
      </c>
      <c r="H56" s="1">
        <f t="shared" si="2"/>
        <v>84.87</v>
      </c>
      <c r="I56" s="1">
        <f t="shared" si="3"/>
        <v>84.87</v>
      </c>
      <c r="J56" s="1">
        <f t="shared" si="4"/>
        <v>2.5314412218684503</v>
      </c>
      <c r="K56" s="1">
        <v>2.539550040938138</v>
      </c>
      <c r="L56" s="1">
        <v>2.539550040938138</v>
      </c>
      <c r="M56" s="1">
        <v>2.539550040938138</v>
      </c>
      <c r="O56" s="1">
        <v>1.9445436482630043</v>
      </c>
      <c r="P56" s="1">
        <f t="shared" si="8"/>
        <v>0.40418194224452986</v>
      </c>
      <c r="Q56" s="1"/>
      <c r="R56" s="1">
        <v>2.539550040938138</v>
      </c>
    </row>
    <row r="57" spans="1:18">
      <c r="A57" s="1">
        <f t="shared" si="9"/>
        <v>5.5999999999999961</v>
      </c>
      <c r="B57" s="1">
        <v>82.95</v>
      </c>
      <c r="C57" s="1">
        <v>11.8</v>
      </c>
      <c r="D57" s="1"/>
      <c r="E57" s="9"/>
      <c r="F57" s="1">
        <f t="shared" si="1"/>
        <v>5.5999999999999961</v>
      </c>
      <c r="G57" s="1">
        <f t="shared" si="0"/>
        <v>1.9798989873223316</v>
      </c>
      <c r="H57" s="1">
        <f t="shared" si="2"/>
        <v>82.95</v>
      </c>
      <c r="I57" s="1">
        <f t="shared" si="3"/>
        <v>82.95</v>
      </c>
      <c r="J57" s="1">
        <f t="shared" si="4"/>
        <v>2.4629056068634774</v>
      </c>
      <c r="K57" s="1">
        <v>2.4701297947320251</v>
      </c>
      <c r="L57" s="1">
        <v>2.4701297947320251</v>
      </c>
      <c r="M57" s="1">
        <v>2.4701297947320251</v>
      </c>
      <c r="O57" s="1">
        <v>1.9798989873223316</v>
      </c>
      <c r="P57" s="1">
        <f t="shared" si="8"/>
        <v>0.39313336691017059</v>
      </c>
      <c r="Q57" s="1"/>
      <c r="R57" s="1">
        <v>2.4701297947320251</v>
      </c>
    </row>
    <row r="58" spans="1:18">
      <c r="A58" s="1">
        <f t="shared" si="9"/>
        <v>5.6999999999999957</v>
      </c>
      <c r="B58" s="1">
        <v>80.959999999999994</v>
      </c>
      <c r="C58" s="1">
        <v>11.8</v>
      </c>
      <c r="D58" s="1"/>
      <c r="E58" s="9"/>
      <c r="F58" s="1">
        <f t="shared" si="1"/>
        <v>5.6999999999999957</v>
      </c>
      <c r="G58" s="1">
        <f t="shared" si="0"/>
        <v>2.0152543263816587</v>
      </c>
      <c r="H58" s="1">
        <f t="shared" si="2"/>
        <v>80.959999999999994</v>
      </c>
      <c r="I58" s="1">
        <f t="shared" si="3"/>
        <v>80.959999999999994</v>
      </c>
      <c r="J58" s="1">
        <f t="shared" si="4"/>
        <v>2.3975449996231779</v>
      </c>
      <c r="K58" s="1">
        <v>2.4040744228333089</v>
      </c>
      <c r="L58" s="1">
        <v>2.4040744228333089</v>
      </c>
      <c r="M58" s="1">
        <v>2.4040744228333089</v>
      </c>
      <c r="O58" s="1">
        <v>2.0152543263816587</v>
      </c>
      <c r="P58" s="1">
        <f t="shared" si="8"/>
        <v>0.3826203279547164</v>
      </c>
      <c r="Q58" s="1"/>
      <c r="R58" s="1">
        <v>2.4040744228333089</v>
      </c>
    </row>
    <row r="59" spans="1:18">
      <c r="A59" s="1">
        <f t="shared" si="9"/>
        <v>5.7999999999999954</v>
      </c>
      <c r="B59" s="1">
        <v>78.930000000000007</v>
      </c>
      <c r="C59" s="1">
        <v>11.8</v>
      </c>
      <c r="D59" s="1"/>
      <c r="E59" s="9"/>
      <c r="F59" s="1">
        <f t="shared" si="1"/>
        <v>5.7999999999999954</v>
      </c>
      <c r="G59" s="1">
        <f t="shared" si="0"/>
        <v>2.050609665440986</v>
      </c>
      <c r="H59" s="1">
        <f t="shared" si="2"/>
        <v>78.930000000000007</v>
      </c>
      <c r="I59" s="1">
        <f t="shared" si="3"/>
        <v>78.930000000000007</v>
      </c>
      <c r="J59" s="1">
        <f t="shared" si="4"/>
        <v>2.335344884538562</v>
      </c>
      <c r="K59" s="1">
        <v>2.3413146490327632</v>
      </c>
      <c r="L59" s="1">
        <v>2.3413146490327632</v>
      </c>
      <c r="M59" s="1">
        <v>2.3413146490327632</v>
      </c>
      <c r="O59" s="1">
        <v>2.050609665440986</v>
      </c>
      <c r="P59" s="1">
        <f t="shared" si="8"/>
        <v>0.37263179972703037</v>
      </c>
      <c r="Q59" s="1"/>
      <c r="R59" s="1">
        <v>2.3413146490327632</v>
      </c>
    </row>
    <row r="60" spans="1:18">
      <c r="A60" s="1">
        <f t="shared" si="9"/>
        <v>5.899999999999995</v>
      </c>
      <c r="B60" s="1">
        <v>76.900000000000006</v>
      </c>
      <c r="C60" s="1">
        <v>11.8</v>
      </c>
      <c r="D60" s="1"/>
      <c r="E60" s="9"/>
      <c r="F60" s="1">
        <f t="shared" si="1"/>
        <v>5.899999999999995</v>
      </c>
      <c r="G60" s="1">
        <f t="shared" si="0"/>
        <v>2.0859650045003133</v>
      </c>
      <c r="H60" s="1">
        <f t="shared" si="2"/>
        <v>76.900000000000006</v>
      </c>
      <c r="I60" s="1">
        <f t="shared" si="3"/>
        <v>76.900000000000006</v>
      </c>
      <c r="J60" s="1">
        <f t="shared" si="4"/>
        <v>2.2766572762754329</v>
      </c>
      <c r="K60" s="1">
        <v>2.2821698698431261</v>
      </c>
      <c r="L60" s="1">
        <v>2.2821698698431261</v>
      </c>
      <c r="M60" s="1">
        <v>2.2821698698431261</v>
      </c>
      <c r="O60" s="1">
        <v>2.0859650045003133</v>
      </c>
      <c r="P60" s="1">
        <f t="shared" si="8"/>
        <v>0.3632186157609209</v>
      </c>
      <c r="Q60" s="1"/>
      <c r="R60" s="1">
        <v>2.2821698698431261</v>
      </c>
    </row>
    <row r="61" spans="1:18">
      <c r="A61" s="1">
        <f t="shared" si="9"/>
        <v>5.9999999999999947</v>
      </c>
      <c r="B61" s="1">
        <v>74.87</v>
      </c>
      <c r="C61" s="1">
        <v>11.79</v>
      </c>
      <c r="D61" s="1"/>
      <c r="E61" s="9"/>
      <c r="F61" s="1">
        <f t="shared" si="1"/>
        <v>5.9999999999999947</v>
      </c>
      <c r="G61" s="1">
        <f t="shared" si="0"/>
        <v>2.1213203435596406</v>
      </c>
      <c r="H61" s="1">
        <f t="shared" si="2"/>
        <v>74.87</v>
      </c>
      <c r="I61" s="1">
        <f t="shared" si="3"/>
        <v>74.933502968617489</v>
      </c>
      <c r="J61" s="1">
        <f t="shared" si="4"/>
        <v>2.2224836525099416</v>
      </c>
      <c r="K61" s="1">
        <v>2.2276235033421106</v>
      </c>
      <c r="L61" s="1">
        <v>2.2276235033421106</v>
      </c>
      <c r="M61" s="1">
        <v>2.2276235033421106</v>
      </c>
      <c r="O61" s="1">
        <v>2.1213203435596406</v>
      </c>
      <c r="P61" s="1">
        <f t="shared" si="8"/>
        <v>0.35453729190458216</v>
      </c>
      <c r="Q61" s="1"/>
      <c r="R61" s="1">
        <v>2.2276235033421106</v>
      </c>
    </row>
    <row r="62" spans="1:18">
      <c r="A62" s="1">
        <f t="shared" si="9"/>
        <v>6.0999999999999943</v>
      </c>
      <c r="B62" s="1">
        <v>72.84</v>
      </c>
      <c r="C62" s="1">
        <v>11.79</v>
      </c>
      <c r="D62" s="1"/>
      <c r="E62" s="9"/>
      <c r="F62" s="1">
        <f t="shared" si="1"/>
        <v>6.0999999999999943</v>
      </c>
      <c r="G62" s="1">
        <f t="shared" si="0"/>
        <v>2.1566756826189679</v>
      </c>
      <c r="H62" s="1">
        <f t="shared" si="2"/>
        <v>72.84</v>
      </c>
      <c r="I62" s="1">
        <f t="shared" si="3"/>
        <v>72.901781170483474</v>
      </c>
      <c r="J62" s="1">
        <f t="shared" si="4"/>
        <v>2.1687712088921849</v>
      </c>
      <c r="K62" s="1">
        <v>2.1735800645127545</v>
      </c>
      <c r="L62" s="1">
        <v>2.1735800645127545</v>
      </c>
      <c r="M62" s="1">
        <v>2.1735800645127545</v>
      </c>
      <c r="O62" s="1">
        <v>2.1566756826189679</v>
      </c>
      <c r="P62" s="1">
        <f t="shared" si="8"/>
        <v>0.34593601147320563</v>
      </c>
      <c r="Q62" s="1"/>
      <c r="R62" s="1">
        <v>2.1735800645127545</v>
      </c>
    </row>
    <row r="63" spans="1:18">
      <c r="A63" s="1">
        <f t="shared" si="9"/>
        <v>6.199999999999994</v>
      </c>
      <c r="B63" s="1">
        <v>70.900000000000006</v>
      </c>
      <c r="C63" s="1">
        <v>11.79</v>
      </c>
      <c r="D63" s="1"/>
      <c r="E63" s="9"/>
      <c r="F63" s="1">
        <f t="shared" si="1"/>
        <v>6.199999999999994</v>
      </c>
      <c r="G63" s="1">
        <f t="shared" si="0"/>
        <v>2.1920310216782952</v>
      </c>
      <c r="H63" s="1">
        <f t="shared" si="2"/>
        <v>70.900000000000006</v>
      </c>
      <c r="I63" s="1">
        <f t="shared" si="3"/>
        <v>70.960135708227327</v>
      </c>
      <c r="J63" s="1">
        <f t="shared" si="4"/>
        <v>2.1192194051496136</v>
      </c>
      <c r="K63" s="1">
        <v>2.1237516420634015</v>
      </c>
      <c r="L63" s="1">
        <v>2.1237516420634015</v>
      </c>
      <c r="M63" s="1">
        <v>2.1237516420634015</v>
      </c>
      <c r="O63" s="1">
        <v>2.1920310216782952</v>
      </c>
      <c r="P63" s="1">
        <f t="shared" si="8"/>
        <v>0.33800557173391993</v>
      </c>
      <c r="Q63" s="1"/>
      <c r="R63" s="1">
        <v>2.1237516420634015</v>
      </c>
    </row>
    <row r="64" spans="1:18">
      <c r="A64" s="1">
        <f t="shared" si="9"/>
        <v>6.2999999999999936</v>
      </c>
      <c r="B64" s="1">
        <v>69.08</v>
      </c>
      <c r="C64" s="1">
        <v>11.79</v>
      </c>
      <c r="D64" s="1"/>
      <c r="E64" s="9"/>
      <c r="F64" s="1">
        <f t="shared" si="1"/>
        <v>6.2999999999999936</v>
      </c>
      <c r="G64" s="1">
        <f t="shared" si="0"/>
        <v>2.2273863607376221</v>
      </c>
      <c r="H64" s="1">
        <f t="shared" si="2"/>
        <v>69.08</v>
      </c>
      <c r="I64" s="1">
        <f t="shared" si="3"/>
        <v>69.138592027141655</v>
      </c>
      <c r="J64" s="1">
        <f t="shared" si="4"/>
        <v>2.0740626278691199</v>
      </c>
      <c r="K64" s="1">
        <v>2.0783634089315011</v>
      </c>
      <c r="L64" s="1">
        <v>2.0783634089315011</v>
      </c>
      <c r="M64" s="1">
        <v>2.0783634089315011</v>
      </c>
      <c r="O64" s="1">
        <v>2.2273863607376221</v>
      </c>
      <c r="P64" s="1">
        <f t="shared" si="8"/>
        <v>0.33078181007277063</v>
      </c>
      <c r="Q64" s="1"/>
      <c r="R64" s="1">
        <v>2.0783634089315011</v>
      </c>
    </row>
    <row r="65" spans="1:18">
      <c r="A65" s="1">
        <f t="shared" si="9"/>
        <v>6.3999999999999932</v>
      </c>
      <c r="B65" s="1">
        <v>67.28</v>
      </c>
      <c r="C65" s="1">
        <v>11.79</v>
      </c>
      <c r="D65" s="1"/>
      <c r="E65" s="9"/>
      <c r="F65" s="1">
        <f t="shared" si="1"/>
        <v>6.3999999999999932</v>
      </c>
      <c r="G65" s="1">
        <f t="shared" si="0"/>
        <v>2.2627416997969494</v>
      </c>
      <c r="H65" s="1">
        <f t="shared" si="2"/>
        <v>67.28</v>
      </c>
      <c r="I65" s="1">
        <f t="shared" si="3"/>
        <v>67.337065309584403</v>
      </c>
      <c r="J65" s="1">
        <f t="shared" si="4"/>
        <v>2.0304812796915144</v>
      </c>
      <c r="K65" s="1">
        <v>2.034574974848649</v>
      </c>
      <c r="L65" s="1">
        <v>2.034574974848649</v>
      </c>
      <c r="M65" s="1">
        <v>2.034574974848649</v>
      </c>
      <c r="O65" s="1">
        <v>2.2627416997969494</v>
      </c>
      <c r="P65" s="1">
        <f t="shared" si="8"/>
        <v>0.32381266433823114</v>
      </c>
      <c r="Q65" s="1"/>
      <c r="R65" s="1">
        <v>2.034574974848649</v>
      </c>
    </row>
    <row r="66" spans="1:18">
      <c r="A66" s="1">
        <f t="shared" si="9"/>
        <v>6.4999999999999929</v>
      </c>
      <c r="B66" s="1">
        <v>65.489999999999995</v>
      </c>
      <c r="C66" s="1">
        <v>11.79</v>
      </c>
      <c r="D66" s="1"/>
      <c r="E66" s="9"/>
      <c r="F66" s="1">
        <f t="shared" si="1"/>
        <v>6.4999999999999929</v>
      </c>
      <c r="G66" s="1">
        <f t="shared" ref="G66:G113" si="10">F66/2/SQRT(2)</f>
        <v>2.2980970388562767</v>
      </c>
      <c r="H66" s="1">
        <f t="shared" si="2"/>
        <v>65.489999999999995</v>
      </c>
      <c r="I66" s="1">
        <f t="shared" si="3"/>
        <v>65.545547073791354</v>
      </c>
      <c r="J66" s="1">
        <f t="shared" si="4"/>
        <v>1.9880559563859852</v>
      </c>
      <c r="K66" s="1">
        <v>1.9919616559581024</v>
      </c>
      <c r="L66" s="1">
        <v>1.9919616559581024</v>
      </c>
      <c r="M66" s="1">
        <v>1.9919616559581024</v>
      </c>
      <c r="O66" s="1">
        <v>2.2980970388562767</v>
      </c>
      <c r="P66" s="1">
        <f t="shared" si="8"/>
        <v>0.31703054399524938</v>
      </c>
      <c r="Q66" s="1"/>
      <c r="R66" s="1">
        <v>1.9919616559581024</v>
      </c>
    </row>
    <row r="67" spans="1:18">
      <c r="A67" s="1">
        <f>A66+0.1</f>
        <v>6.5999999999999925</v>
      </c>
      <c r="B67" s="1">
        <v>63.85</v>
      </c>
      <c r="C67" s="1">
        <v>11.79</v>
      </c>
      <c r="D67" s="1"/>
      <c r="E67" s="9"/>
      <c r="F67" s="1">
        <f t="shared" ref="F67:F113" si="11">A67</f>
        <v>6.5999999999999925</v>
      </c>
      <c r="G67" s="1">
        <f t="shared" si="10"/>
        <v>2.333452377915604</v>
      </c>
      <c r="H67" s="1">
        <f t="shared" ref="H67:H113" si="12">B67</f>
        <v>63.85</v>
      </c>
      <c r="I67" s="1">
        <f t="shared" ref="I67:I113" si="13">H67*MAX(C$2:C$113)/C67</f>
        <v>63.904156064461418</v>
      </c>
      <c r="J67" s="1">
        <f t="shared" ref="J67:J113" si="14">ACOS(1-2*(I67/MAX(I$3:I$111)))</f>
        <v>1.9498767096795435</v>
      </c>
      <c r="K67" s="1">
        <v>1.9536234806269206</v>
      </c>
      <c r="L67" s="1">
        <v>1.9536234806269206</v>
      </c>
      <c r="M67" s="1">
        <v>1.9536234806269206</v>
      </c>
      <c r="O67" s="1">
        <v>2.333452377915604</v>
      </c>
      <c r="P67" s="1">
        <f t="shared" ref="P67:P113" si="15">R67/2/PI()</f>
        <v>0.31092883388216808</v>
      </c>
      <c r="Q67" s="1"/>
      <c r="R67" s="1">
        <v>1.9536234806269206</v>
      </c>
    </row>
    <row r="68" spans="1:18">
      <c r="A68" s="1">
        <f t="shared" ref="A68:A81" si="16">A67+0.1</f>
        <v>6.6999999999999922</v>
      </c>
      <c r="B68" s="1">
        <v>62.19</v>
      </c>
      <c r="C68" s="1">
        <v>11.79</v>
      </c>
      <c r="D68" s="1"/>
      <c r="E68" s="9"/>
      <c r="F68" s="1">
        <f t="shared" si="11"/>
        <v>6.6999999999999922</v>
      </c>
      <c r="G68" s="1">
        <f t="shared" si="10"/>
        <v>2.3688077169749313</v>
      </c>
      <c r="H68" s="1">
        <f t="shared" si="12"/>
        <v>62.19</v>
      </c>
      <c r="I68" s="1">
        <f t="shared" si="13"/>
        <v>62.242748091603055</v>
      </c>
      <c r="J68" s="1">
        <f t="shared" si="14"/>
        <v>1.9118144068168927</v>
      </c>
      <c r="K68" s="1">
        <v>1.9154114526125927</v>
      </c>
      <c r="L68" s="1">
        <v>1.9154114526125927</v>
      </c>
      <c r="M68" s="1">
        <v>1.9154114526125927</v>
      </c>
      <c r="O68" s="1">
        <v>2.3688077169749313</v>
      </c>
      <c r="P68" s="1">
        <f t="shared" si="15"/>
        <v>0.30484720073812177</v>
      </c>
      <c r="Q68" s="1"/>
      <c r="R68" s="1">
        <v>1.9154114526125927</v>
      </c>
    </row>
    <row r="69" spans="1:18">
      <c r="A69" s="1">
        <f t="shared" si="16"/>
        <v>6.7999999999999918</v>
      </c>
      <c r="B69" s="1">
        <v>60.65</v>
      </c>
      <c r="C69" s="1">
        <v>11.79</v>
      </c>
      <c r="D69" s="1"/>
      <c r="E69" s="9"/>
      <c r="F69" s="1">
        <f t="shared" si="11"/>
        <v>6.7999999999999918</v>
      </c>
      <c r="G69" s="1">
        <f t="shared" si="10"/>
        <v>2.4041630560342586</v>
      </c>
      <c r="H69" s="1">
        <f t="shared" si="12"/>
        <v>60.65</v>
      </c>
      <c r="I69" s="1">
        <f t="shared" si="13"/>
        <v>60.701441899915196</v>
      </c>
      <c r="J69" s="1">
        <f t="shared" si="14"/>
        <v>1.8769590690570841</v>
      </c>
      <c r="K69" s="1">
        <v>1.8804259548612947</v>
      </c>
      <c r="L69" s="1">
        <v>1.8804259548612947</v>
      </c>
      <c r="M69" s="1">
        <v>1.8804259548612947</v>
      </c>
      <c r="O69" s="1">
        <v>2.4041630560342586</v>
      </c>
      <c r="P69" s="1">
        <f t="shared" si="15"/>
        <v>0.29927908583447232</v>
      </c>
      <c r="Q69" s="1"/>
      <c r="R69" s="1">
        <v>1.8804259548612947</v>
      </c>
    </row>
    <row r="70" spans="1:18">
      <c r="A70" s="1">
        <f t="shared" si="16"/>
        <v>6.8999999999999915</v>
      </c>
      <c r="B70" s="1">
        <v>59.1</v>
      </c>
      <c r="C70" s="1">
        <v>11.79</v>
      </c>
      <c r="D70" s="1"/>
      <c r="E70" s="9"/>
      <c r="F70" s="1">
        <f t="shared" si="11"/>
        <v>6.8999999999999915</v>
      </c>
      <c r="G70" s="1">
        <f t="shared" si="10"/>
        <v>2.4395183950935859</v>
      </c>
      <c r="H70" s="1">
        <f t="shared" si="12"/>
        <v>59.1</v>
      </c>
      <c r="I70" s="1">
        <f t="shared" si="13"/>
        <v>59.15012722646312</v>
      </c>
      <c r="J70" s="1">
        <f t="shared" si="14"/>
        <v>1.8422610479173565</v>
      </c>
      <c r="K70" s="1">
        <v>1.8456044020350304</v>
      </c>
      <c r="L70" s="1">
        <v>1.8456044020350304</v>
      </c>
      <c r="M70" s="1">
        <v>1.8456044020350304</v>
      </c>
      <c r="O70" s="1">
        <v>2.4395183950935859</v>
      </c>
      <c r="P70" s="1">
        <f t="shared" si="15"/>
        <v>0.29373706357603679</v>
      </c>
      <c r="Q70" s="1"/>
      <c r="R70" s="1">
        <v>1.8456044020350304</v>
      </c>
    </row>
    <row r="71" spans="1:18">
      <c r="A71" s="1">
        <f t="shared" si="16"/>
        <v>6.9999999999999911</v>
      </c>
      <c r="B71" s="1">
        <v>57.62</v>
      </c>
      <c r="C71" s="1">
        <v>11.79</v>
      </c>
      <c r="D71" s="1"/>
      <c r="E71" s="9"/>
      <c r="F71" s="1">
        <f t="shared" si="11"/>
        <v>6.9999999999999911</v>
      </c>
      <c r="G71" s="1">
        <f t="shared" si="10"/>
        <v>2.4748737341529132</v>
      </c>
      <c r="H71" s="1">
        <f t="shared" si="12"/>
        <v>57.62</v>
      </c>
      <c r="I71" s="1">
        <f t="shared" si="13"/>
        <v>57.668871925360484</v>
      </c>
      <c r="J71" s="1">
        <f t="shared" si="14"/>
        <v>1.8094406536220822</v>
      </c>
      <c r="K71" s="1">
        <v>1.812672271194725</v>
      </c>
      <c r="L71" s="1">
        <v>1.812672271194725</v>
      </c>
      <c r="M71" s="1">
        <v>1.812672271194725</v>
      </c>
      <c r="O71" s="1">
        <v>2.4748737341529132</v>
      </c>
      <c r="P71" s="1">
        <f t="shared" si="15"/>
        <v>0.28849575216625312</v>
      </c>
      <c r="Q71" s="1"/>
      <c r="R71" s="1">
        <v>1.812672271194725</v>
      </c>
    </row>
    <row r="72" spans="1:18">
      <c r="A72" s="1">
        <f t="shared" si="16"/>
        <v>7.0999999999999908</v>
      </c>
      <c r="B72" s="1">
        <v>56.19</v>
      </c>
      <c r="C72" s="1">
        <v>11.79</v>
      </c>
      <c r="D72" s="1"/>
      <c r="E72" s="9"/>
      <c r="F72" s="1">
        <f t="shared" si="11"/>
        <v>7.0999999999999908</v>
      </c>
      <c r="G72" s="1">
        <f t="shared" si="10"/>
        <v>2.5102290732122401</v>
      </c>
      <c r="H72" s="1">
        <f t="shared" si="12"/>
        <v>56.19</v>
      </c>
      <c r="I72" s="1">
        <f t="shared" si="13"/>
        <v>56.237659033078884</v>
      </c>
      <c r="J72" s="1">
        <f t="shared" si="14"/>
        <v>1.7779765606880111</v>
      </c>
      <c r="K72" s="1">
        <v>1.7811053765420879</v>
      </c>
      <c r="L72" s="1">
        <v>1.7811053765420879</v>
      </c>
      <c r="M72" s="1">
        <v>1.7811053765420879</v>
      </c>
      <c r="O72" s="1">
        <v>2.5102290732122401</v>
      </c>
      <c r="P72" s="1">
        <f t="shared" si="15"/>
        <v>0.28347172484422484</v>
      </c>
      <c r="Q72" s="1"/>
      <c r="R72" s="1">
        <v>1.7811053765420879</v>
      </c>
    </row>
    <row r="73" spans="1:18">
      <c r="A73" s="1">
        <f t="shared" si="16"/>
        <v>7.1999999999999904</v>
      </c>
      <c r="B73" s="1">
        <v>54.79</v>
      </c>
      <c r="C73" s="1">
        <v>11.79</v>
      </c>
      <c r="D73" s="1"/>
      <c r="E73" s="9"/>
      <c r="F73" s="1">
        <f t="shared" si="11"/>
        <v>7.1999999999999904</v>
      </c>
      <c r="G73" s="1">
        <f t="shared" si="10"/>
        <v>2.5455844122715674</v>
      </c>
      <c r="H73" s="1">
        <f t="shared" si="12"/>
        <v>54.79</v>
      </c>
      <c r="I73" s="1">
        <f t="shared" si="13"/>
        <v>54.836471586089914</v>
      </c>
      <c r="J73" s="1">
        <f t="shared" si="14"/>
        <v>1.7473731380743147</v>
      </c>
      <c r="K73" s="1">
        <v>1.7504057350794369</v>
      </c>
      <c r="L73" s="1">
        <v>1.7504057350794369</v>
      </c>
      <c r="M73" s="1">
        <v>1.7504057350794369</v>
      </c>
      <c r="O73" s="1">
        <v>2.5455844122715674</v>
      </c>
      <c r="P73" s="1">
        <f t="shared" si="15"/>
        <v>0.27858572515429503</v>
      </c>
      <c r="Q73" s="1"/>
      <c r="R73" s="1">
        <v>1.7504057350794369</v>
      </c>
    </row>
    <row r="74" spans="1:18">
      <c r="A74" s="1">
        <f t="shared" si="16"/>
        <v>7.2999999999999901</v>
      </c>
      <c r="B74" s="1">
        <v>53.47</v>
      </c>
      <c r="C74" s="1">
        <v>11.79</v>
      </c>
      <c r="D74" s="1"/>
      <c r="E74" s="9"/>
      <c r="F74" s="1">
        <f t="shared" si="11"/>
        <v>7.2999999999999901</v>
      </c>
      <c r="G74" s="1">
        <f t="shared" si="10"/>
        <v>2.5809397513308947</v>
      </c>
      <c r="H74" s="1">
        <f t="shared" si="12"/>
        <v>53.47</v>
      </c>
      <c r="I74" s="1">
        <f t="shared" si="13"/>
        <v>53.515351993214594</v>
      </c>
      <c r="J74" s="1">
        <f t="shared" si="14"/>
        <v>1.7186713152253539</v>
      </c>
      <c r="K74" s="1">
        <v>1.7216168292328462</v>
      </c>
      <c r="L74" s="1">
        <v>1.7216168292328462</v>
      </c>
      <c r="M74" s="1">
        <v>1.7216168292328462</v>
      </c>
      <c r="O74" s="1">
        <v>2.5809397513308947</v>
      </c>
      <c r="P74" s="1">
        <f t="shared" si="15"/>
        <v>0.27400382848260296</v>
      </c>
      <c r="Q74" s="1"/>
      <c r="R74" s="1">
        <v>1.7216168292328462</v>
      </c>
    </row>
    <row r="75" spans="1:18">
      <c r="A75" s="1">
        <f t="shared" si="16"/>
        <v>7.3999999999999897</v>
      </c>
      <c r="B75" s="1">
        <v>52.15</v>
      </c>
      <c r="C75" s="1">
        <v>11.79</v>
      </c>
      <c r="D75" s="1"/>
      <c r="E75" s="9"/>
      <c r="F75" s="1">
        <f t="shared" si="11"/>
        <v>7.3999999999999897</v>
      </c>
      <c r="G75" s="1">
        <f t="shared" si="10"/>
        <v>2.616295090390222</v>
      </c>
      <c r="H75" s="1">
        <f t="shared" si="12"/>
        <v>52.15</v>
      </c>
      <c r="I75" s="1">
        <f t="shared" si="13"/>
        <v>52.194232400339274</v>
      </c>
      <c r="J75" s="1">
        <f t="shared" si="14"/>
        <v>1.6900917270482805</v>
      </c>
      <c r="K75" s="1">
        <v>1.6929533755279957</v>
      </c>
      <c r="L75" s="1">
        <v>1.6929533755279957</v>
      </c>
      <c r="M75" s="1">
        <v>1.6929533755279957</v>
      </c>
      <c r="O75" s="1">
        <v>2.616295090390222</v>
      </c>
      <c r="P75" s="1">
        <f t="shared" si="15"/>
        <v>0.26944189813939029</v>
      </c>
      <c r="Q75" s="1"/>
      <c r="R75" s="1">
        <v>1.6929533755279957</v>
      </c>
    </row>
    <row r="76" spans="1:18">
      <c r="A76" s="1">
        <f t="shared" si="16"/>
        <v>7.4999999999999893</v>
      </c>
      <c r="B76" s="1">
        <v>50.96</v>
      </c>
      <c r="C76" s="1">
        <v>11.79</v>
      </c>
      <c r="D76" s="1"/>
      <c r="E76" s="9"/>
      <c r="F76" s="1">
        <f t="shared" si="11"/>
        <v>7.4999999999999893</v>
      </c>
      <c r="G76" s="1">
        <f t="shared" si="10"/>
        <v>2.6516504294495493</v>
      </c>
      <c r="H76" s="1">
        <f t="shared" si="12"/>
        <v>50.96</v>
      </c>
      <c r="I76" s="1">
        <f t="shared" si="13"/>
        <v>51.003223070398654</v>
      </c>
      <c r="J76" s="1">
        <f t="shared" si="14"/>
        <v>1.6644111309146723</v>
      </c>
      <c r="K76" s="1">
        <v>1.6671997029546477</v>
      </c>
      <c r="L76" s="1">
        <v>1.6671997029546477</v>
      </c>
      <c r="M76" s="1">
        <v>1.6671997029546477</v>
      </c>
      <c r="O76" s="1">
        <v>2.6516504294495493</v>
      </c>
      <c r="P76" s="1">
        <f t="shared" si="15"/>
        <v>0.2653430738465718</v>
      </c>
      <c r="Q76" s="1"/>
      <c r="R76" s="1">
        <v>1.6671997029546477</v>
      </c>
    </row>
    <row r="77" spans="1:18">
      <c r="A77" s="1">
        <f t="shared" si="16"/>
        <v>7.599999999999989</v>
      </c>
      <c r="B77" s="1">
        <v>49.8</v>
      </c>
      <c r="C77" s="1">
        <v>11.79</v>
      </c>
      <c r="D77" s="1"/>
      <c r="E77" s="9"/>
      <c r="F77" s="1">
        <f t="shared" si="11"/>
        <v>7.599999999999989</v>
      </c>
      <c r="G77" s="1">
        <f t="shared" si="10"/>
        <v>2.6870057685088766</v>
      </c>
      <c r="H77" s="1">
        <f t="shared" si="12"/>
        <v>49.8</v>
      </c>
      <c r="I77" s="1">
        <f t="shared" si="13"/>
        <v>49.842239185750635</v>
      </c>
      <c r="J77" s="1">
        <f t="shared" si="14"/>
        <v>1.6394375547447857</v>
      </c>
      <c r="K77" s="1">
        <v>1.6421570206666465</v>
      </c>
      <c r="L77" s="1">
        <v>1.6421570206666465</v>
      </c>
      <c r="M77" s="1">
        <v>1.6421570206666465</v>
      </c>
      <c r="O77" s="1">
        <v>2.6870057685088766</v>
      </c>
      <c r="P77" s="1">
        <f t="shared" si="15"/>
        <v>0.2613574071721565</v>
      </c>
      <c r="Q77" s="1"/>
      <c r="R77" s="1">
        <v>1.6421570206666465</v>
      </c>
    </row>
    <row r="78" spans="1:18">
      <c r="A78" s="1">
        <f t="shared" si="16"/>
        <v>7.6999999999999886</v>
      </c>
      <c r="B78" s="1">
        <v>48.59</v>
      </c>
      <c r="C78" s="1">
        <v>11.79</v>
      </c>
      <c r="D78" s="1"/>
      <c r="E78" s="9"/>
      <c r="F78" s="1">
        <f t="shared" si="11"/>
        <v>7.6999999999999886</v>
      </c>
      <c r="G78" s="1">
        <f t="shared" si="10"/>
        <v>2.7223611075682039</v>
      </c>
      <c r="H78" s="1">
        <f t="shared" si="12"/>
        <v>48.59</v>
      </c>
      <c r="I78" s="1">
        <f t="shared" si="13"/>
        <v>48.631212892281603</v>
      </c>
      <c r="J78" s="1">
        <f t="shared" si="14"/>
        <v>1.6134329141431247</v>
      </c>
      <c r="K78" s="1">
        <v>1.6160823660648274</v>
      </c>
      <c r="L78" s="1">
        <v>1.6160823660648274</v>
      </c>
      <c r="M78" s="1">
        <v>1.6160823660648274</v>
      </c>
      <c r="O78" s="1">
        <v>2.7223611075682039</v>
      </c>
      <c r="P78" s="1">
        <f t="shared" si="15"/>
        <v>0.25720749700286316</v>
      </c>
      <c r="Q78" s="1"/>
      <c r="R78" s="1">
        <v>1.6160823660648274</v>
      </c>
    </row>
    <row r="79" spans="1:18">
      <c r="A79" s="1">
        <f t="shared" si="16"/>
        <v>7.7999999999999883</v>
      </c>
      <c r="B79" s="1">
        <v>47.48</v>
      </c>
      <c r="C79" s="1">
        <v>11.79</v>
      </c>
      <c r="D79" s="1"/>
      <c r="E79" s="9"/>
      <c r="F79" s="1">
        <f t="shared" si="11"/>
        <v>7.7999999999999883</v>
      </c>
      <c r="G79" s="1">
        <f t="shared" si="10"/>
        <v>2.7577164466275308</v>
      </c>
      <c r="H79" s="1">
        <f t="shared" si="12"/>
        <v>47.48</v>
      </c>
      <c r="I79" s="1">
        <f t="shared" si="13"/>
        <v>47.520271416454626</v>
      </c>
      <c r="J79" s="1">
        <f t="shared" si="14"/>
        <v>1.5896031953711223</v>
      </c>
      <c r="K79" s="1">
        <v>1.5921901439334027</v>
      </c>
      <c r="L79" s="1">
        <v>1.5921901439334027</v>
      </c>
      <c r="M79" s="1">
        <v>1.5921901439334027</v>
      </c>
      <c r="O79" s="1">
        <v>2.7577164466275308</v>
      </c>
      <c r="P79" s="1">
        <f t="shared" si="15"/>
        <v>0.25340493174919737</v>
      </c>
      <c r="Q79" s="1"/>
      <c r="R79" s="1">
        <v>1.5921901439334027</v>
      </c>
    </row>
    <row r="80" spans="1:18">
      <c r="A80" s="1">
        <f t="shared" si="16"/>
        <v>7.8999999999999879</v>
      </c>
      <c r="B80" s="1">
        <v>46.38</v>
      </c>
      <c r="C80" s="1">
        <v>11.79</v>
      </c>
      <c r="D80" s="1"/>
      <c r="E80" s="9"/>
      <c r="F80" s="1">
        <f t="shared" si="11"/>
        <v>7.8999999999999879</v>
      </c>
      <c r="G80" s="1">
        <f t="shared" si="10"/>
        <v>2.7930717856868581</v>
      </c>
      <c r="H80" s="1">
        <f t="shared" si="12"/>
        <v>46.38</v>
      </c>
      <c r="I80" s="1">
        <f t="shared" si="13"/>
        <v>46.419338422391867</v>
      </c>
      <c r="J80" s="1">
        <f t="shared" si="14"/>
        <v>1.5659987335347498</v>
      </c>
      <c r="K80" s="1">
        <v>1.568525253856951</v>
      </c>
      <c r="L80" s="1">
        <v>1.568525253856951</v>
      </c>
      <c r="M80" s="1">
        <v>1.568525253856951</v>
      </c>
      <c r="O80" s="1">
        <v>2.7930717856868581</v>
      </c>
      <c r="P80" s="1">
        <f t="shared" si="15"/>
        <v>0.24963854751580372</v>
      </c>
      <c r="Q80" s="1"/>
      <c r="R80" s="1">
        <v>1.568525253856951</v>
      </c>
    </row>
    <row r="81" spans="1:18">
      <c r="A81" s="1">
        <f t="shared" si="16"/>
        <v>7.9999999999999876</v>
      </c>
      <c r="B81" s="1">
        <v>45.29</v>
      </c>
      <c r="C81" s="1">
        <v>11.78</v>
      </c>
      <c r="D81" s="1"/>
      <c r="E81" s="9"/>
      <c r="F81" s="1">
        <f t="shared" si="11"/>
        <v>7.9999999999999876</v>
      </c>
      <c r="G81" s="1">
        <f t="shared" si="10"/>
        <v>2.8284271247461854</v>
      </c>
      <c r="H81" s="1">
        <f t="shared" si="12"/>
        <v>45.29</v>
      </c>
      <c r="I81" s="1">
        <f t="shared" si="13"/>
        <v>45.366893039049238</v>
      </c>
      <c r="J81" s="1">
        <f t="shared" si="14"/>
        <v>1.5434315469351885</v>
      </c>
      <c r="K81" s="1">
        <v>1.545901612301982</v>
      </c>
      <c r="L81" s="1">
        <v>1.545901612301982</v>
      </c>
      <c r="M81" s="1">
        <v>1.545901612301982</v>
      </c>
      <c r="O81" s="1">
        <v>2.8284271247461854</v>
      </c>
      <c r="P81" s="1">
        <f t="shared" si="15"/>
        <v>0.2460378831315912</v>
      </c>
      <c r="Q81" s="1"/>
      <c r="R81" s="1">
        <v>1.545901612301982</v>
      </c>
    </row>
    <row r="82" spans="1:18">
      <c r="A82" s="1">
        <f>A81+0.1</f>
        <v>8.0999999999999872</v>
      </c>
      <c r="B82" s="1">
        <v>44.28</v>
      </c>
      <c r="C82" s="1">
        <v>11.78</v>
      </c>
      <c r="D82" s="1"/>
      <c r="E82" s="9"/>
      <c r="F82" s="1">
        <f t="shared" si="11"/>
        <v>8.0999999999999872</v>
      </c>
      <c r="G82" s="1">
        <f t="shared" si="10"/>
        <v>2.8637824638055127</v>
      </c>
      <c r="H82" s="1">
        <f t="shared" si="12"/>
        <v>44.28</v>
      </c>
      <c r="I82" s="1">
        <f t="shared" si="13"/>
        <v>44.355178268251279</v>
      </c>
      <c r="J82" s="1">
        <f t="shared" si="14"/>
        <v>1.521724719920833</v>
      </c>
      <c r="K82" s="1">
        <v>1.5241416445346343</v>
      </c>
      <c r="L82" s="1">
        <v>1.5241416445346343</v>
      </c>
      <c r="M82" s="1">
        <v>1.5241416445346343</v>
      </c>
      <c r="O82" s="1">
        <v>2.8637824638055127</v>
      </c>
      <c r="P82" s="1">
        <f t="shared" si="15"/>
        <v>0.24257467669989749</v>
      </c>
      <c r="Q82" s="1"/>
      <c r="R82" s="1">
        <v>1.5241416445346343</v>
      </c>
    </row>
    <row r="83" spans="1:18">
      <c r="A83" s="1">
        <f t="shared" ref="A83:A91" si="17">A82+0.1</f>
        <v>8.1999999999999869</v>
      </c>
      <c r="B83" s="1">
        <v>43.25</v>
      </c>
      <c r="C83" s="1">
        <v>11.78</v>
      </c>
      <c r="D83" s="1"/>
      <c r="E83" s="9"/>
      <c r="F83" s="1">
        <f t="shared" si="11"/>
        <v>8.1999999999999869</v>
      </c>
      <c r="G83" s="1">
        <f t="shared" si="10"/>
        <v>2.89913780286484</v>
      </c>
      <c r="H83" s="1">
        <f t="shared" si="12"/>
        <v>43.25</v>
      </c>
      <c r="I83" s="1">
        <f t="shared" si="13"/>
        <v>43.323429541595928</v>
      </c>
      <c r="J83" s="1">
        <f t="shared" si="14"/>
        <v>1.4995641219504192</v>
      </c>
      <c r="K83" s="1">
        <v>1.5019279200276658</v>
      </c>
      <c r="L83" s="1">
        <v>1.5019279200276658</v>
      </c>
      <c r="M83" s="1">
        <v>1.5019279200276658</v>
      </c>
      <c r="O83" s="1">
        <v>2.89913780286484</v>
      </c>
      <c r="P83" s="1">
        <f t="shared" si="15"/>
        <v>0.2390392526401319</v>
      </c>
      <c r="Q83" s="1"/>
      <c r="R83" s="1">
        <v>1.5019279200276658</v>
      </c>
    </row>
    <row r="84" spans="1:18">
      <c r="A84" s="1">
        <f t="shared" si="17"/>
        <v>8.2999999999999865</v>
      </c>
      <c r="B84" s="1">
        <v>42.27</v>
      </c>
      <c r="C84" s="1">
        <v>11.78</v>
      </c>
      <c r="D84" s="1"/>
      <c r="E84" s="9"/>
      <c r="F84" s="1">
        <f t="shared" si="11"/>
        <v>8.2999999999999865</v>
      </c>
      <c r="G84" s="1">
        <f t="shared" si="10"/>
        <v>2.9344931419241673</v>
      </c>
      <c r="H84" s="1">
        <f t="shared" si="12"/>
        <v>42.27</v>
      </c>
      <c r="I84" s="1">
        <f t="shared" si="13"/>
        <v>42.341765704584049</v>
      </c>
      <c r="J84" s="1">
        <f t="shared" si="14"/>
        <v>1.4784468592521085</v>
      </c>
      <c r="K84" s="1">
        <v>1.4807610459797014</v>
      </c>
      <c r="L84" s="1">
        <v>1.4807610459797014</v>
      </c>
      <c r="M84" s="1">
        <v>1.4807610459797014</v>
      </c>
      <c r="O84" s="1">
        <v>2.9344931419241673</v>
      </c>
      <c r="P84" s="1">
        <f t="shared" si="15"/>
        <v>0.23567044000559478</v>
      </c>
      <c r="Q84" s="1"/>
      <c r="R84" s="1">
        <v>1.4807610459797014</v>
      </c>
    </row>
    <row r="85" spans="1:18">
      <c r="A85" s="1">
        <f t="shared" si="17"/>
        <v>8.3999999999999861</v>
      </c>
      <c r="B85" s="1">
        <v>41.34</v>
      </c>
      <c r="C85" s="1">
        <v>11.78</v>
      </c>
      <c r="D85" s="1"/>
      <c r="E85" s="9"/>
      <c r="F85" s="1">
        <f t="shared" si="11"/>
        <v>8.3999999999999861</v>
      </c>
      <c r="G85" s="1">
        <f t="shared" si="10"/>
        <v>2.9698484809834946</v>
      </c>
      <c r="H85" s="1">
        <f t="shared" si="12"/>
        <v>41.34</v>
      </c>
      <c r="I85" s="1">
        <f t="shared" si="13"/>
        <v>41.410186757215627</v>
      </c>
      <c r="J85" s="1">
        <f t="shared" si="14"/>
        <v>1.4583688861352178</v>
      </c>
      <c r="K85" s="1">
        <v>1.4606367841063992</v>
      </c>
      <c r="L85" s="1">
        <v>1.4606367841063992</v>
      </c>
      <c r="M85" s="1">
        <v>1.4606367841063992</v>
      </c>
      <c r="O85" s="1">
        <v>2.9698484809834946</v>
      </c>
      <c r="P85" s="1">
        <f t="shared" si="15"/>
        <v>0.23246756425238299</v>
      </c>
      <c r="Q85" s="1"/>
      <c r="R85" s="1">
        <v>1.4606367841063992</v>
      </c>
    </row>
    <row r="86" spans="1:18">
      <c r="A86" s="1">
        <f t="shared" si="17"/>
        <v>8.4999999999999858</v>
      </c>
      <c r="B86" s="1">
        <v>40.44</v>
      </c>
      <c r="C86" s="1">
        <v>11.78</v>
      </c>
      <c r="D86" s="1"/>
      <c r="E86" s="9"/>
      <c r="F86" s="1">
        <f t="shared" si="11"/>
        <v>8.4999999999999858</v>
      </c>
      <c r="G86" s="1">
        <f t="shared" si="10"/>
        <v>3.0052038200428219</v>
      </c>
      <c r="H86" s="1">
        <f t="shared" si="12"/>
        <v>40.44</v>
      </c>
      <c r="I86" s="1">
        <f t="shared" si="13"/>
        <v>40.508658743633276</v>
      </c>
      <c r="J86" s="1">
        <f t="shared" si="14"/>
        <v>1.4388952348129831</v>
      </c>
      <c r="K86" s="1">
        <v>1.4411190264533136</v>
      </c>
      <c r="L86" s="1">
        <v>1.4411190264533136</v>
      </c>
      <c r="M86" s="1">
        <v>1.4411190264533136</v>
      </c>
      <c r="O86" s="1">
        <v>3.0052038200428219</v>
      </c>
      <c r="P86" s="1">
        <f t="shared" si="15"/>
        <v>0.22936121664382475</v>
      </c>
      <c r="Q86" s="1"/>
      <c r="R86" s="1">
        <v>1.4411190264533136</v>
      </c>
    </row>
    <row r="87" spans="1:18">
      <c r="A87" s="1">
        <f t="shared" si="17"/>
        <v>8.5999999999999854</v>
      </c>
      <c r="B87" s="1">
        <v>39.57</v>
      </c>
      <c r="C87" s="1">
        <v>11.78</v>
      </c>
      <c r="D87" s="1"/>
      <c r="E87" s="9"/>
      <c r="F87" s="1">
        <f t="shared" si="11"/>
        <v>8.5999999999999854</v>
      </c>
      <c r="G87" s="1">
        <f t="shared" si="10"/>
        <v>3.0405591591021488</v>
      </c>
      <c r="H87" s="1">
        <f t="shared" si="12"/>
        <v>39.57</v>
      </c>
      <c r="I87" s="1">
        <f t="shared" si="13"/>
        <v>39.637181663837019</v>
      </c>
      <c r="J87" s="1">
        <f t="shared" si="14"/>
        <v>1.4200228320450039</v>
      </c>
      <c r="K87" s="1">
        <v>1.4222045937270715</v>
      </c>
      <c r="L87" s="1">
        <v>1.4222045937270715</v>
      </c>
      <c r="M87" s="1">
        <v>1.4222045937270715</v>
      </c>
      <c r="O87" s="1">
        <v>3.0405591591021488</v>
      </c>
      <c r="P87" s="1">
        <f t="shared" si="15"/>
        <v>0.2263508911796642</v>
      </c>
      <c r="Q87" s="1"/>
      <c r="R87" s="1">
        <v>1.4222045937270715</v>
      </c>
    </row>
    <row r="88" spans="1:18">
      <c r="A88" s="1">
        <f t="shared" si="17"/>
        <v>8.6999999999999851</v>
      </c>
      <c r="B88" s="1">
        <v>38.72</v>
      </c>
      <c r="C88" s="1">
        <v>11.78</v>
      </c>
      <c r="D88" s="1"/>
      <c r="E88" s="9"/>
      <c r="F88" s="1">
        <f t="shared" si="11"/>
        <v>8.6999999999999851</v>
      </c>
      <c r="G88" s="1">
        <f t="shared" si="10"/>
        <v>3.0759144981614761</v>
      </c>
      <c r="H88" s="1">
        <f t="shared" si="12"/>
        <v>38.72</v>
      </c>
      <c r="I88" s="1">
        <f t="shared" si="13"/>
        <v>38.785738539898134</v>
      </c>
      <c r="J88" s="1">
        <f t="shared" si="14"/>
        <v>1.4015319133844302</v>
      </c>
      <c r="K88" s="1">
        <v>1.4036731529739552</v>
      </c>
      <c r="L88" s="1">
        <v>1.4036731529739552</v>
      </c>
      <c r="M88" s="1">
        <v>1.4036731529739552</v>
      </c>
      <c r="O88" s="1">
        <v>3.0759144981614761</v>
      </c>
      <c r="P88" s="1">
        <f t="shared" si="15"/>
        <v>0.22340152078119116</v>
      </c>
      <c r="Q88" s="1"/>
      <c r="R88" s="1">
        <v>1.4036731529739552</v>
      </c>
    </row>
    <row r="89" spans="1:18">
      <c r="A89" s="1">
        <f t="shared" si="17"/>
        <v>8.7999999999999847</v>
      </c>
      <c r="B89" s="1">
        <v>37.86</v>
      </c>
      <c r="C89" s="1">
        <v>11.78</v>
      </c>
      <c r="D89" s="1"/>
      <c r="E89" s="9"/>
      <c r="F89" s="1">
        <f t="shared" si="11"/>
        <v>8.7999999999999847</v>
      </c>
      <c r="G89" s="1">
        <f t="shared" si="10"/>
        <v>3.1112698372208034</v>
      </c>
      <c r="H89" s="1">
        <f t="shared" si="12"/>
        <v>37.86</v>
      </c>
      <c r="I89" s="1">
        <f t="shared" si="13"/>
        <v>37.924278438030569</v>
      </c>
      <c r="J89" s="1">
        <f t="shared" si="14"/>
        <v>1.3827637611466772</v>
      </c>
      <c r="K89" s="1">
        <v>1.3848645144681631</v>
      </c>
      <c r="L89" s="1">
        <v>1.3848645144681631</v>
      </c>
      <c r="M89" s="1">
        <v>1.3848645144681631</v>
      </c>
      <c r="O89" s="1">
        <v>3.1112698372208034</v>
      </c>
      <c r="P89" s="1">
        <f t="shared" si="15"/>
        <v>0.22040803299016576</v>
      </c>
      <c r="Q89" s="1"/>
      <c r="R89" s="1">
        <v>1.3848645144681631</v>
      </c>
    </row>
    <row r="90" spans="1:18">
      <c r="A90" s="1">
        <f t="shared" si="17"/>
        <v>8.8999999999999844</v>
      </c>
      <c r="B90" s="1">
        <v>37.08</v>
      </c>
      <c r="C90" s="1">
        <v>11.78</v>
      </c>
      <c r="D90" s="1"/>
      <c r="E90" s="9"/>
      <c r="F90" s="1">
        <f t="shared" si="11"/>
        <v>8.8999999999999844</v>
      </c>
      <c r="G90" s="1">
        <f t="shared" si="10"/>
        <v>3.1466251762801307</v>
      </c>
      <c r="H90" s="1">
        <f t="shared" si="12"/>
        <v>37.08</v>
      </c>
      <c r="I90" s="1">
        <f t="shared" si="13"/>
        <v>37.142954159592527</v>
      </c>
      <c r="J90" s="1">
        <f t="shared" si="14"/>
        <v>1.3656835031184975</v>
      </c>
      <c r="K90" s="1">
        <v>1.3677479559610104</v>
      </c>
      <c r="L90" s="1">
        <v>1.3677479559610104</v>
      </c>
      <c r="M90" s="1">
        <v>1.3677479559610104</v>
      </c>
      <c r="O90" s="1">
        <v>3.1466251762801307</v>
      </c>
      <c r="P90" s="1">
        <f t="shared" si="15"/>
        <v>0.21768384809503077</v>
      </c>
      <c r="Q90" s="1"/>
      <c r="R90" s="1">
        <v>1.3677479559610104</v>
      </c>
    </row>
    <row r="91" spans="1:18">
      <c r="A91" s="1">
        <f t="shared" si="17"/>
        <v>8.999999999999984</v>
      </c>
      <c r="B91" s="1">
        <v>36.92</v>
      </c>
      <c r="C91" s="1">
        <v>11.78</v>
      </c>
      <c r="D91" s="1"/>
      <c r="E91" s="9"/>
      <c r="F91" s="1">
        <f t="shared" si="11"/>
        <v>8.999999999999984</v>
      </c>
      <c r="G91" s="1">
        <f t="shared" si="10"/>
        <v>3.181980515339458</v>
      </c>
      <c r="H91" s="1">
        <f t="shared" si="12"/>
        <v>36.92</v>
      </c>
      <c r="I91" s="1">
        <f t="shared" si="13"/>
        <v>36.982682512733454</v>
      </c>
      <c r="J91" s="1">
        <f t="shared" si="14"/>
        <v>1.3621725166535676</v>
      </c>
      <c r="K91" s="1">
        <v>1.3642295704059848</v>
      </c>
      <c r="L91" s="1">
        <v>1.3642295704059848</v>
      </c>
      <c r="M91" s="1">
        <v>1.3642295704059848</v>
      </c>
      <c r="O91" s="1">
        <v>3.181980515339458</v>
      </c>
      <c r="P91" s="1">
        <f t="shared" si="15"/>
        <v>0.21712387964224533</v>
      </c>
      <c r="Q91" s="1"/>
      <c r="R91" s="1">
        <v>1.3642295704059848</v>
      </c>
    </row>
    <row r="92" spans="1:18">
      <c r="A92" s="1">
        <f>A91+0.5</f>
        <v>9.499999999999984</v>
      </c>
      <c r="B92" s="1">
        <v>32.69</v>
      </c>
      <c r="C92" s="1">
        <v>11.78</v>
      </c>
      <c r="D92" s="1"/>
      <c r="E92" s="9"/>
      <c r="F92" s="1">
        <f t="shared" si="11"/>
        <v>9.499999999999984</v>
      </c>
      <c r="G92" s="1">
        <f t="shared" si="10"/>
        <v>3.358757210636095</v>
      </c>
      <c r="H92" s="1">
        <f t="shared" si="12"/>
        <v>32.69</v>
      </c>
      <c r="I92" s="1">
        <f t="shared" si="13"/>
        <v>32.745500848896441</v>
      </c>
      <c r="J92" s="1">
        <f t="shared" si="14"/>
        <v>1.2682452823543167</v>
      </c>
      <c r="K92" s="1">
        <v>1.2701118095253716</v>
      </c>
      <c r="L92" s="1">
        <v>1.2701118095253716</v>
      </c>
      <c r="M92" s="1">
        <v>1.2701118095253716</v>
      </c>
      <c r="O92" s="1">
        <v>3.358757210636095</v>
      </c>
      <c r="P92" s="1">
        <f t="shared" si="15"/>
        <v>0.20214457276535475</v>
      </c>
      <c r="Q92" s="1"/>
      <c r="R92" s="1">
        <v>1.2701118095253716</v>
      </c>
    </row>
    <row r="93" spans="1:18">
      <c r="A93" s="1">
        <f t="shared" ref="A93:A111" si="18">A92+0.5</f>
        <v>9.999999999999984</v>
      </c>
      <c r="B93" s="1">
        <v>29.56</v>
      </c>
      <c r="C93" s="1">
        <v>11.78</v>
      </c>
      <c r="D93" s="1"/>
      <c r="E93" s="9"/>
      <c r="F93" s="1">
        <f t="shared" si="11"/>
        <v>9.999999999999984</v>
      </c>
      <c r="G93" s="1">
        <f t="shared" si="10"/>
        <v>3.5355339059327315</v>
      </c>
      <c r="H93" s="1">
        <f t="shared" si="12"/>
        <v>29.56</v>
      </c>
      <c r="I93" s="1">
        <f t="shared" si="13"/>
        <v>29.610186757215622</v>
      </c>
      <c r="J93" s="1">
        <f t="shared" si="14"/>
        <v>1.196974927185761</v>
      </c>
      <c r="K93" s="1">
        <v>1.1987055161536744</v>
      </c>
      <c r="L93" s="1">
        <v>1.1987055161536744</v>
      </c>
      <c r="M93" s="1">
        <v>1.1987055161536744</v>
      </c>
      <c r="O93" s="1">
        <v>3.5355339059327315</v>
      </c>
      <c r="P93" s="1">
        <f t="shared" si="15"/>
        <v>0.19077990820737908</v>
      </c>
      <c r="Q93" s="1"/>
      <c r="R93" s="1">
        <v>1.1987055161536744</v>
      </c>
    </row>
    <row r="94" spans="1:18">
      <c r="A94" s="1">
        <f t="shared" si="18"/>
        <v>10.499999999999984</v>
      </c>
      <c r="B94" s="1">
        <v>26.89</v>
      </c>
      <c r="C94" s="1">
        <v>11.78</v>
      </c>
      <c r="D94" s="1"/>
      <c r="E94" s="9"/>
      <c r="F94" s="1">
        <f t="shared" si="11"/>
        <v>10.499999999999984</v>
      </c>
      <c r="G94" s="1">
        <f t="shared" si="10"/>
        <v>3.7123106012293685</v>
      </c>
      <c r="H94" s="1">
        <f t="shared" si="12"/>
        <v>26.89</v>
      </c>
      <c r="I94" s="1">
        <f t="shared" si="13"/>
        <v>26.935653650254672</v>
      </c>
      <c r="J94" s="1">
        <f t="shared" si="14"/>
        <v>1.1345769061172006</v>
      </c>
      <c r="K94" s="1">
        <v>1.1361938185998475</v>
      </c>
      <c r="L94" s="1">
        <v>1.1361938185998475</v>
      </c>
      <c r="M94" s="1">
        <v>1.1361938185998475</v>
      </c>
      <c r="O94" s="1">
        <v>3.7123106012293685</v>
      </c>
      <c r="P94" s="1">
        <f t="shared" si="15"/>
        <v>0.18083086254062197</v>
      </c>
      <c r="Q94" s="1"/>
      <c r="R94" s="1">
        <v>1.1361938185998475</v>
      </c>
    </row>
    <row r="95" spans="1:18">
      <c r="A95" s="1">
        <f t="shared" si="18"/>
        <v>10.999999999999984</v>
      </c>
      <c r="B95" s="1">
        <v>24.54</v>
      </c>
      <c r="C95" s="1">
        <v>11.78</v>
      </c>
      <c r="D95" s="1"/>
      <c r="E95" s="9"/>
      <c r="F95" s="1">
        <f t="shared" si="11"/>
        <v>10.999999999999984</v>
      </c>
      <c r="G95" s="1">
        <f t="shared" si="10"/>
        <v>3.8890872965260055</v>
      </c>
      <c r="H95" s="1">
        <f t="shared" si="12"/>
        <v>24.54</v>
      </c>
      <c r="I95" s="1">
        <f t="shared" si="13"/>
        <v>24.581663837011885</v>
      </c>
      <c r="J95" s="1">
        <f t="shared" si="14"/>
        <v>1.0781217649834633</v>
      </c>
      <c r="K95" s="1">
        <v>1.0796396702077975</v>
      </c>
      <c r="L95" s="1">
        <v>1.0796396702077975</v>
      </c>
      <c r="M95" s="1">
        <v>1.0796396702077975</v>
      </c>
      <c r="O95" s="1">
        <v>3.8890872965260055</v>
      </c>
      <c r="P95" s="1">
        <f t="shared" si="15"/>
        <v>0.17182999027167467</v>
      </c>
      <c r="Q95" s="1"/>
      <c r="R95" s="1">
        <v>1.0796396702077975</v>
      </c>
    </row>
    <row r="96" spans="1:18">
      <c r="A96" s="1">
        <f t="shared" si="18"/>
        <v>11.499999999999984</v>
      </c>
      <c r="B96" s="1">
        <v>22.46</v>
      </c>
      <c r="C96" s="1">
        <v>11.78</v>
      </c>
      <c r="D96" s="1"/>
      <c r="E96" s="9"/>
      <c r="F96" s="1">
        <f t="shared" si="11"/>
        <v>11.499999999999984</v>
      </c>
      <c r="G96" s="1">
        <f t="shared" si="10"/>
        <v>4.065863991822642</v>
      </c>
      <c r="H96" s="1">
        <f t="shared" si="12"/>
        <v>22.46</v>
      </c>
      <c r="I96" s="1">
        <f t="shared" si="13"/>
        <v>22.498132427843807</v>
      </c>
      <c r="J96" s="1">
        <f t="shared" si="14"/>
        <v>1.0266899711282469</v>
      </c>
      <c r="K96" s="1">
        <v>1.0281205569353875</v>
      </c>
      <c r="L96" s="1">
        <v>1.0281205569353875</v>
      </c>
      <c r="M96" s="1">
        <v>1.0281205569353875</v>
      </c>
      <c r="O96" s="1">
        <v>4.065863991822642</v>
      </c>
      <c r="P96" s="1">
        <f t="shared" si="15"/>
        <v>0.16363046873065934</v>
      </c>
      <c r="Q96" s="1"/>
      <c r="R96" s="1">
        <v>1.0281205569353875</v>
      </c>
    </row>
    <row r="97" spans="1:18">
      <c r="A97" s="1">
        <f t="shared" si="18"/>
        <v>11.999999999999984</v>
      </c>
      <c r="B97" s="1">
        <v>20.66</v>
      </c>
      <c r="C97" s="1">
        <v>11.78</v>
      </c>
      <c r="D97" s="1"/>
      <c r="E97" s="9"/>
      <c r="F97" s="1">
        <f t="shared" si="11"/>
        <v>11.999999999999984</v>
      </c>
      <c r="G97" s="1">
        <f t="shared" si="10"/>
        <v>4.2426406871192794</v>
      </c>
      <c r="H97" s="1">
        <f t="shared" si="12"/>
        <v>20.66</v>
      </c>
      <c r="I97" s="1">
        <f t="shared" si="13"/>
        <v>20.69507640067912</v>
      </c>
      <c r="J97" s="1">
        <f t="shared" si="14"/>
        <v>0.98085757268946394</v>
      </c>
      <c r="K97" s="1">
        <v>0.98221246082603131</v>
      </c>
      <c r="L97" s="1">
        <v>0.98221246082603131</v>
      </c>
      <c r="M97" s="1">
        <v>0.98221246082603131</v>
      </c>
      <c r="O97" s="1">
        <v>4.2426406871192794</v>
      </c>
      <c r="P97" s="1">
        <f t="shared" si="15"/>
        <v>0.1563239683069175</v>
      </c>
      <c r="Q97" s="1"/>
      <c r="R97" s="1">
        <v>0.98221246082603131</v>
      </c>
    </row>
    <row r="98" spans="1:18">
      <c r="A98" s="1">
        <f t="shared" si="18"/>
        <v>12.499999999999984</v>
      </c>
      <c r="B98" s="1">
        <v>19.05</v>
      </c>
      <c r="C98" s="1">
        <v>11.78</v>
      </c>
      <c r="D98" s="1"/>
      <c r="E98" s="9"/>
      <c r="F98" s="1">
        <f t="shared" si="11"/>
        <v>12.499999999999984</v>
      </c>
      <c r="G98" s="1">
        <f t="shared" si="10"/>
        <v>4.419417382415916</v>
      </c>
      <c r="H98" s="1">
        <f t="shared" si="12"/>
        <v>19.05</v>
      </c>
      <c r="I98" s="1">
        <f t="shared" si="13"/>
        <v>19.082342954159596</v>
      </c>
      <c r="J98" s="1">
        <f t="shared" si="14"/>
        <v>0.93863950720429812</v>
      </c>
      <c r="K98" s="1">
        <v>0.93992629398770133</v>
      </c>
      <c r="L98" s="1">
        <v>0.93992629398770133</v>
      </c>
      <c r="M98" s="1">
        <v>0.93992629398770133</v>
      </c>
      <c r="O98" s="1">
        <v>4.419417382415916</v>
      </c>
      <c r="P98" s="1">
        <f t="shared" si="15"/>
        <v>0.14959391583018869</v>
      </c>
      <c r="Q98" s="1"/>
      <c r="R98" s="1">
        <v>0.93992629398770133</v>
      </c>
    </row>
    <row r="99" spans="1:18">
      <c r="A99" s="1">
        <f t="shared" si="18"/>
        <v>12.999999999999984</v>
      </c>
      <c r="B99" s="1">
        <v>17.600000000000001</v>
      </c>
      <c r="C99" s="1">
        <v>11.78</v>
      </c>
      <c r="D99" s="1"/>
      <c r="E99" s="9"/>
      <c r="F99" s="1">
        <f t="shared" si="11"/>
        <v>12.999999999999984</v>
      </c>
      <c r="G99" s="1">
        <f t="shared" si="10"/>
        <v>4.5961940777125525</v>
      </c>
      <c r="H99" s="1">
        <f t="shared" si="12"/>
        <v>17.600000000000001</v>
      </c>
      <c r="I99" s="1">
        <f t="shared" si="13"/>
        <v>17.629881154499156</v>
      </c>
      <c r="J99" s="1">
        <f t="shared" si="14"/>
        <v>0.89946870940766344</v>
      </c>
      <c r="K99" s="1">
        <v>0.9006936059807038</v>
      </c>
      <c r="L99" s="1">
        <v>0.9006936059807038</v>
      </c>
      <c r="M99" s="1">
        <v>0.9006936059807038</v>
      </c>
      <c r="O99" s="1">
        <v>4.5961940777125525</v>
      </c>
      <c r="P99" s="1">
        <f t="shared" si="15"/>
        <v>0.14334983960309292</v>
      </c>
      <c r="Q99" s="1"/>
      <c r="R99" s="1">
        <v>0.9006936059807038</v>
      </c>
    </row>
    <row r="100" spans="1:18">
      <c r="A100" s="1">
        <f t="shared" si="18"/>
        <v>13.499999999999984</v>
      </c>
      <c r="B100" s="1">
        <v>16.32</v>
      </c>
      <c r="C100" s="1">
        <v>11.78</v>
      </c>
      <c r="D100" s="1"/>
      <c r="E100" s="9"/>
      <c r="F100" s="1">
        <f t="shared" si="11"/>
        <v>13.499999999999984</v>
      </c>
      <c r="G100" s="1">
        <f t="shared" si="10"/>
        <v>4.7729707730091899</v>
      </c>
      <c r="H100" s="1">
        <f t="shared" si="12"/>
        <v>16.32</v>
      </c>
      <c r="I100" s="1">
        <f t="shared" si="13"/>
        <v>16.347707979626488</v>
      </c>
      <c r="J100" s="1">
        <f t="shared" si="14"/>
        <v>0.86384983848815766</v>
      </c>
      <c r="K100" s="1">
        <v>0.86501946786389161</v>
      </c>
      <c r="L100" s="1">
        <v>0.86501946786389161</v>
      </c>
      <c r="M100" s="1">
        <v>0.86501946786389161</v>
      </c>
      <c r="O100" s="1">
        <v>4.7729707730091899</v>
      </c>
      <c r="P100" s="1">
        <f t="shared" si="15"/>
        <v>0.13767212418125926</v>
      </c>
      <c r="Q100" s="1"/>
      <c r="R100" s="1">
        <v>0.86501946786389161</v>
      </c>
    </row>
    <row r="101" spans="1:18">
      <c r="A101" s="1">
        <f t="shared" si="18"/>
        <v>13.999999999999984</v>
      </c>
      <c r="B101" s="1">
        <v>15.15</v>
      </c>
      <c r="C101" s="1">
        <v>11.78</v>
      </c>
      <c r="D101" s="1"/>
      <c r="E101" s="9"/>
      <c r="F101" s="1">
        <f t="shared" si="11"/>
        <v>13.999999999999984</v>
      </c>
      <c r="G101" s="1">
        <f t="shared" si="10"/>
        <v>4.9497474683058265</v>
      </c>
      <c r="H101" s="1">
        <f t="shared" si="12"/>
        <v>15.15</v>
      </c>
      <c r="I101" s="1">
        <f t="shared" si="13"/>
        <v>15.175721561969441</v>
      </c>
      <c r="J101" s="1">
        <f t="shared" si="14"/>
        <v>0.83031707578430813</v>
      </c>
      <c r="K101" s="1">
        <v>0.83143550030010216</v>
      </c>
      <c r="L101" s="1">
        <v>0.83143550030010216</v>
      </c>
      <c r="M101" s="1">
        <v>0.83143550030010216</v>
      </c>
      <c r="O101" s="1">
        <v>4.9497474683058265</v>
      </c>
      <c r="P101" s="1">
        <f t="shared" si="15"/>
        <v>0.13232706973484429</v>
      </c>
      <c r="Q101" s="1"/>
      <c r="R101" s="1">
        <v>0.83143550030010216</v>
      </c>
    </row>
    <row r="102" spans="1:18">
      <c r="A102" s="1">
        <f t="shared" si="18"/>
        <v>14.499999999999984</v>
      </c>
      <c r="B102" s="1">
        <v>14.11</v>
      </c>
      <c r="C102" s="1">
        <v>11.78</v>
      </c>
      <c r="D102" s="1"/>
      <c r="E102" s="9"/>
      <c r="F102" s="1">
        <f t="shared" si="11"/>
        <v>14.499999999999984</v>
      </c>
      <c r="G102" s="1">
        <f t="shared" si="10"/>
        <v>5.1265241636024639</v>
      </c>
      <c r="H102" s="1">
        <f t="shared" si="12"/>
        <v>14.11</v>
      </c>
      <c r="I102" s="1">
        <f t="shared" si="13"/>
        <v>14.133955857385399</v>
      </c>
      <c r="J102" s="1">
        <f t="shared" si="14"/>
        <v>0.79962374335590491</v>
      </c>
      <c r="K102" s="1">
        <v>0.80069596006048505</v>
      </c>
      <c r="L102" s="1">
        <v>0.80069596006048505</v>
      </c>
      <c r="M102" s="1">
        <v>0.80069596006048505</v>
      </c>
      <c r="O102" s="1">
        <v>5.1265241636024639</v>
      </c>
      <c r="P102" s="1">
        <f t="shared" si="15"/>
        <v>0.12743471995733699</v>
      </c>
      <c r="Q102" s="1"/>
      <c r="R102" s="1">
        <v>0.80069596006048505</v>
      </c>
    </row>
    <row r="103" spans="1:18">
      <c r="A103" s="1">
        <f t="shared" si="18"/>
        <v>14.999999999999984</v>
      </c>
      <c r="B103" s="1">
        <v>13.18</v>
      </c>
      <c r="C103" s="1">
        <v>11.78</v>
      </c>
      <c r="D103" s="1"/>
      <c r="E103" s="9"/>
      <c r="F103" s="1">
        <f t="shared" si="11"/>
        <v>14.999999999999984</v>
      </c>
      <c r="G103" s="1">
        <f t="shared" si="10"/>
        <v>5.3033008588991004</v>
      </c>
      <c r="H103" s="1">
        <f t="shared" si="12"/>
        <v>13.18</v>
      </c>
      <c r="I103" s="1">
        <f t="shared" si="13"/>
        <v>13.202376910016978</v>
      </c>
      <c r="J103" s="1">
        <f t="shared" si="14"/>
        <v>0.77138037696470552</v>
      </c>
      <c r="K103" s="1">
        <v>0.77241060225354174</v>
      </c>
      <c r="L103" s="1">
        <v>0.77241060225354174</v>
      </c>
      <c r="M103" s="1">
        <v>0.77241060225354174</v>
      </c>
      <c r="O103" s="1">
        <v>5.3033008588991004</v>
      </c>
      <c r="P103" s="1">
        <f t="shared" si="15"/>
        <v>0.12293296544523905</v>
      </c>
      <c r="Q103" s="1"/>
      <c r="R103" s="1">
        <v>0.77241060225354174</v>
      </c>
    </row>
    <row r="104" spans="1:18">
      <c r="A104" s="1">
        <f>A103+0.5</f>
        <v>15.499999999999984</v>
      </c>
      <c r="B104" s="1">
        <v>12.33</v>
      </c>
      <c r="C104" s="1">
        <v>11.78</v>
      </c>
      <c r="D104" s="1"/>
      <c r="E104" s="9"/>
      <c r="F104" s="1">
        <f t="shared" si="11"/>
        <v>15.499999999999984</v>
      </c>
      <c r="G104" s="1">
        <f t="shared" si="10"/>
        <v>5.4800775541957369</v>
      </c>
      <c r="H104" s="1">
        <f t="shared" si="12"/>
        <v>12.33</v>
      </c>
      <c r="I104" s="1">
        <f t="shared" si="13"/>
        <v>12.3509337860781</v>
      </c>
      <c r="J104" s="1">
        <f t="shared" si="14"/>
        <v>0.74482950810901205</v>
      </c>
      <c r="K104" s="1">
        <v>0.74582069639563431</v>
      </c>
      <c r="L104" s="1">
        <v>0.74582069639563431</v>
      </c>
      <c r="M104" s="1">
        <v>0.74582069639563431</v>
      </c>
      <c r="O104" s="1">
        <v>5.4800775541957369</v>
      </c>
      <c r="P104" s="1">
        <f t="shared" si="15"/>
        <v>0.11870105049160493</v>
      </c>
      <c r="Q104" s="1"/>
      <c r="R104" s="1">
        <v>0.74582069639563431</v>
      </c>
    </row>
    <row r="105" spans="1:18">
      <c r="A105" s="1">
        <f t="shared" si="18"/>
        <v>15.999999999999984</v>
      </c>
      <c r="B105" s="1">
        <v>11.57</v>
      </c>
      <c r="C105" s="1">
        <v>11.78</v>
      </c>
      <c r="D105" s="1"/>
      <c r="E105" s="9"/>
      <c r="F105" s="1">
        <f t="shared" si="11"/>
        <v>15.999999999999984</v>
      </c>
      <c r="G105" s="1">
        <f t="shared" si="10"/>
        <v>5.6568542494923744</v>
      </c>
      <c r="H105" s="1">
        <f t="shared" si="12"/>
        <v>11.57</v>
      </c>
      <c r="I105" s="1">
        <f t="shared" si="13"/>
        <v>11.589643463497454</v>
      </c>
      <c r="J105" s="1">
        <f t="shared" si="14"/>
        <v>0.72042551567241264</v>
      </c>
      <c r="K105" s="1">
        <v>0.7213811799800689</v>
      </c>
      <c r="L105" s="1">
        <v>0.7213811799800689</v>
      </c>
      <c r="M105" s="1">
        <v>0.7213811799800689</v>
      </c>
      <c r="O105" s="1">
        <v>5.6568542494923744</v>
      </c>
      <c r="P105" s="1">
        <f t="shared" si="15"/>
        <v>0.11481138064729218</v>
      </c>
      <c r="Q105" s="1"/>
      <c r="R105" s="1">
        <v>0.7213811799800689</v>
      </c>
    </row>
    <row r="106" spans="1:18">
      <c r="A106" s="1">
        <f t="shared" si="18"/>
        <v>16.499999999999986</v>
      </c>
      <c r="B106" s="1">
        <v>10.86</v>
      </c>
      <c r="C106" s="1">
        <v>11.78</v>
      </c>
      <c r="D106" s="1"/>
      <c r="E106" s="9"/>
      <c r="F106" s="1">
        <f t="shared" si="11"/>
        <v>16.499999999999986</v>
      </c>
      <c r="G106" s="1">
        <f t="shared" si="10"/>
        <v>5.8336309447890118</v>
      </c>
      <c r="H106" s="1">
        <f t="shared" si="12"/>
        <v>10.86</v>
      </c>
      <c r="I106" s="1">
        <f t="shared" si="13"/>
        <v>10.878438030560272</v>
      </c>
      <c r="J106" s="1">
        <f t="shared" si="14"/>
        <v>0.69699766406869379</v>
      </c>
      <c r="K106" s="1">
        <v>0.69791953198274514</v>
      </c>
      <c r="L106" s="1">
        <v>0.69791953198274514</v>
      </c>
      <c r="M106" s="1">
        <v>0.69791953198274514</v>
      </c>
      <c r="O106" s="1">
        <v>5.8336309447890118</v>
      </c>
      <c r="P106" s="1">
        <f t="shared" si="15"/>
        <v>0.11107734339543604</v>
      </c>
      <c r="Q106" s="1"/>
      <c r="R106" s="1">
        <v>0.69791953198274514</v>
      </c>
    </row>
    <row r="107" spans="1:18">
      <c r="A107" s="1">
        <f t="shared" si="18"/>
        <v>16.999999999999986</v>
      </c>
      <c r="B107" s="1">
        <v>10.220000000000001</v>
      </c>
      <c r="C107" s="1">
        <v>11.78</v>
      </c>
      <c r="D107" s="1"/>
      <c r="E107" s="9"/>
      <c r="F107" s="1">
        <f t="shared" si="11"/>
        <v>16.999999999999986</v>
      </c>
      <c r="G107" s="1">
        <f t="shared" si="10"/>
        <v>6.0104076400856483</v>
      </c>
      <c r="H107" s="1">
        <f t="shared" si="12"/>
        <v>10.220000000000001</v>
      </c>
      <c r="I107" s="1">
        <f t="shared" si="13"/>
        <v>10.237351443123941</v>
      </c>
      <c r="J107" s="1">
        <f t="shared" si="14"/>
        <v>0.67530327061474937</v>
      </c>
      <c r="K107" s="1">
        <v>0.67619409906519312</v>
      </c>
      <c r="L107" s="1">
        <v>0.67619409906519312</v>
      </c>
      <c r="M107" s="1">
        <v>0.67619409906519312</v>
      </c>
      <c r="O107" s="1">
        <v>6.0104076400856483</v>
      </c>
      <c r="P107" s="1">
        <f t="shared" si="15"/>
        <v>0.10761963335579625</v>
      </c>
      <c r="Q107" s="1"/>
      <c r="R107" s="1">
        <v>0.67619409906519312</v>
      </c>
    </row>
    <row r="108" spans="1:18">
      <c r="A108" s="1">
        <f>A107+0.5</f>
        <v>17.499999999999986</v>
      </c>
      <c r="B108" s="1">
        <v>9.64</v>
      </c>
      <c r="C108" s="1">
        <v>11.78</v>
      </c>
      <c r="D108" s="1"/>
      <c r="E108" s="9"/>
      <c r="F108" s="1">
        <f t="shared" si="11"/>
        <v>17.499999999999986</v>
      </c>
      <c r="G108" s="1">
        <f t="shared" si="10"/>
        <v>6.1871843353822857</v>
      </c>
      <c r="H108" s="1">
        <f t="shared" si="12"/>
        <v>9.64</v>
      </c>
      <c r="I108" s="1">
        <f t="shared" si="13"/>
        <v>9.6563667232597634</v>
      </c>
      <c r="J108" s="1">
        <f t="shared" si="14"/>
        <v>0.65512239880201495</v>
      </c>
      <c r="K108" s="1">
        <v>0.6559845653921812</v>
      </c>
      <c r="L108" s="1">
        <v>0.6559845653921812</v>
      </c>
      <c r="M108" s="1">
        <v>0.6559845653921812</v>
      </c>
      <c r="O108" s="1">
        <v>6.1871843353822857</v>
      </c>
      <c r="P108" s="1">
        <f t="shared" si="15"/>
        <v>0.1044031861741543</v>
      </c>
      <c r="Q108" s="1"/>
      <c r="R108" s="1">
        <v>0.6559845653921812</v>
      </c>
    </row>
    <row r="109" spans="1:18">
      <c r="A109" s="1">
        <f t="shared" si="18"/>
        <v>17.999999999999986</v>
      </c>
      <c r="B109" s="1">
        <v>9.09</v>
      </c>
      <c r="C109" s="1">
        <v>11.78</v>
      </c>
      <c r="D109" s="1"/>
      <c r="E109" s="9"/>
      <c r="F109" s="1">
        <f t="shared" si="11"/>
        <v>17.999999999999986</v>
      </c>
      <c r="G109" s="1">
        <f t="shared" si="10"/>
        <v>6.3639610306789223</v>
      </c>
      <c r="H109" s="1">
        <f t="shared" si="12"/>
        <v>9.09</v>
      </c>
      <c r="I109" s="1">
        <f t="shared" si="13"/>
        <v>9.1054329371816642</v>
      </c>
      <c r="J109" s="1">
        <f t="shared" si="14"/>
        <v>0.63548308465580328</v>
      </c>
      <c r="K109" s="1">
        <v>0.63631754706704602</v>
      </c>
      <c r="L109" s="1">
        <v>0.63631754706704602</v>
      </c>
      <c r="M109" s="1">
        <v>0.63631754706704602</v>
      </c>
      <c r="O109" s="1">
        <v>6.3639610306789223</v>
      </c>
      <c r="P109" s="1">
        <f t="shared" si="15"/>
        <v>0.10127308299183015</v>
      </c>
      <c r="Q109" s="1"/>
      <c r="R109" s="1">
        <v>0.63631754706704602</v>
      </c>
    </row>
    <row r="110" spans="1:18">
      <c r="A110" s="1">
        <f>A109+0.5</f>
        <v>18.499999999999986</v>
      </c>
      <c r="B110" s="1">
        <v>8.61</v>
      </c>
      <c r="C110" s="1">
        <v>11.78</v>
      </c>
      <c r="D110" s="1"/>
      <c r="E110" s="9"/>
      <c r="F110" s="1">
        <f t="shared" si="11"/>
        <v>18.499999999999986</v>
      </c>
      <c r="G110" s="1">
        <f t="shared" si="10"/>
        <v>6.5407377259755588</v>
      </c>
      <c r="H110" s="1">
        <f t="shared" si="12"/>
        <v>8.61</v>
      </c>
      <c r="I110" s="1">
        <f t="shared" si="13"/>
        <v>8.6246179966044139</v>
      </c>
      <c r="J110" s="1">
        <f t="shared" si="14"/>
        <v>0.61790588111073874</v>
      </c>
      <c r="K110" s="1">
        <v>0.61871570004708498</v>
      </c>
      <c r="L110" s="1">
        <v>0.61871570004708498</v>
      </c>
      <c r="M110" s="1">
        <v>0.61871570004708498</v>
      </c>
      <c r="O110" s="1">
        <v>6.5407377259755588</v>
      </c>
      <c r="P110" s="1">
        <f t="shared" si="15"/>
        <v>9.8471662031055993E-2</v>
      </c>
      <c r="Q110" s="1"/>
      <c r="R110" s="1">
        <v>0.61871570004708498</v>
      </c>
    </row>
    <row r="111" spans="1:18">
      <c r="A111" s="1">
        <f t="shared" si="18"/>
        <v>18.999999999999986</v>
      </c>
      <c r="B111" s="1">
        <v>8.15</v>
      </c>
      <c r="C111" s="1">
        <v>11.78</v>
      </c>
      <c r="D111" s="1"/>
      <c r="E111" s="9"/>
      <c r="F111" s="1">
        <f t="shared" si="11"/>
        <v>18.999999999999986</v>
      </c>
      <c r="G111" s="1">
        <f t="shared" si="10"/>
        <v>6.7175144212721962</v>
      </c>
      <c r="H111" s="1">
        <f t="shared" si="12"/>
        <v>8.15</v>
      </c>
      <c r="I111" s="1">
        <f t="shared" si="13"/>
        <v>8.1638370118845511</v>
      </c>
      <c r="J111" s="1">
        <f t="shared" si="14"/>
        <v>0.60064315360657206</v>
      </c>
      <c r="K111" s="1">
        <v>0.60142890447021957</v>
      </c>
      <c r="L111" s="1">
        <v>0.60142890447021957</v>
      </c>
      <c r="M111" s="1">
        <v>0.60142890447021957</v>
      </c>
      <c r="O111" s="1">
        <v>6.7175144212721962</v>
      </c>
      <c r="P111" s="1">
        <f t="shared" si="15"/>
        <v>9.5720383064778758E-2</v>
      </c>
      <c r="Q111" s="1"/>
      <c r="R111" s="1">
        <v>0.60142890447021957</v>
      </c>
    </row>
    <row r="112" spans="1:18">
      <c r="A112" s="1">
        <v>19.5</v>
      </c>
      <c r="B112" s="1">
        <v>7.72</v>
      </c>
      <c r="C112" s="1">
        <v>11.78</v>
      </c>
      <c r="D112" s="1"/>
      <c r="E112" s="9"/>
      <c r="F112" s="1">
        <f t="shared" si="11"/>
        <v>19.5</v>
      </c>
      <c r="G112" s="1">
        <f t="shared" si="10"/>
        <v>6.8942911165688381</v>
      </c>
      <c r="H112" s="1">
        <f t="shared" si="12"/>
        <v>7.72</v>
      </c>
      <c r="I112" s="1">
        <f t="shared" si="13"/>
        <v>7.7331069609507646</v>
      </c>
      <c r="J112" s="1">
        <f t="shared" si="14"/>
        <v>0.58410334483442039</v>
      </c>
      <c r="K112" s="1">
        <v>0.58486615622634486</v>
      </c>
      <c r="L112" s="1">
        <v>0.58486615622634486</v>
      </c>
      <c r="M112" s="1">
        <v>0.58486615622634486</v>
      </c>
      <c r="O112" s="1">
        <v>6.8942911165688381</v>
      </c>
      <c r="P112" s="1">
        <f t="shared" si="15"/>
        <v>9.3084339810579481E-2</v>
      </c>
      <c r="Q112" s="1"/>
      <c r="R112" s="1">
        <v>0.58486615622634486</v>
      </c>
    </row>
    <row r="113" spans="1:18">
      <c r="A113" s="1">
        <v>20</v>
      </c>
      <c r="B113" s="1">
        <v>7.34</v>
      </c>
      <c r="C113" s="1">
        <v>11.78</v>
      </c>
      <c r="D113" s="1"/>
      <c r="E113" s="9"/>
      <c r="F113" s="1">
        <f t="shared" si="11"/>
        <v>20</v>
      </c>
      <c r="G113" s="1">
        <f t="shared" si="10"/>
        <v>7.0710678118654746</v>
      </c>
      <c r="H113" s="1">
        <f t="shared" si="12"/>
        <v>7.34</v>
      </c>
      <c r="I113" s="1">
        <f t="shared" si="13"/>
        <v>7.3524617996604427</v>
      </c>
      <c r="J113" s="1">
        <f t="shared" si="14"/>
        <v>0.56913455032508908</v>
      </c>
      <c r="K113" s="1">
        <v>0.5698766995266582</v>
      </c>
      <c r="L113" s="1">
        <v>0.5698766995266582</v>
      </c>
      <c r="M113" s="1">
        <v>0.5698766995266582</v>
      </c>
      <c r="O113" s="1">
        <v>7.0710678118654746</v>
      </c>
      <c r="P113" s="1">
        <f t="shared" si="15"/>
        <v>9.0698693682562434E-2</v>
      </c>
      <c r="Q113" s="1"/>
      <c r="R113" s="1">
        <v>0.5698766995266582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3"/>
  <sheetViews>
    <sheetView workbookViewId="0">
      <selection activeCell="U24" sqref="A1:XFD1048576"/>
    </sheetView>
  </sheetViews>
  <sheetFormatPr defaultRowHeight="14.5"/>
  <cols>
    <col min="15" max="15" width="8.81640625" style="1"/>
  </cols>
  <sheetData>
    <row r="1" spans="1:16">
      <c r="A1" s="1" t="s">
        <v>0</v>
      </c>
      <c r="B1" s="1" t="s">
        <v>22</v>
      </c>
      <c r="C1" s="1" t="s">
        <v>23</v>
      </c>
      <c r="D1" s="3" t="s">
        <v>3</v>
      </c>
      <c r="E1" s="9"/>
      <c r="F1" s="1" t="s">
        <v>4</v>
      </c>
      <c r="G1" s="4" t="s">
        <v>5</v>
      </c>
      <c r="H1" s="5" t="s">
        <v>6</v>
      </c>
      <c r="I1" s="3" t="s">
        <v>3</v>
      </c>
      <c r="J1" s="6" t="s">
        <v>7</v>
      </c>
      <c r="K1" s="7" t="s">
        <v>8</v>
      </c>
      <c r="L1" s="7" t="s">
        <v>15</v>
      </c>
      <c r="O1" s="1" t="s">
        <v>5</v>
      </c>
      <c r="P1" s="1" t="s">
        <v>24</v>
      </c>
    </row>
    <row r="2" spans="1:16">
      <c r="A2" s="1">
        <v>0.1</v>
      </c>
      <c r="B2" s="1">
        <v>0.24859999999999999</v>
      </c>
      <c r="C2" s="1">
        <v>25.5</v>
      </c>
      <c r="D2" s="10"/>
      <c r="E2" s="9"/>
      <c r="F2" s="1">
        <f>A2</f>
        <v>0.1</v>
      </c>
      <c r="G2" s="1">
        <f t="shared" ref="G2:G65" si="0">F2/2/SQRT(2)</f>
        <v>3.5355339059327376E-2</v>
      </c>
      <c r="H2" s="1">
        <f>B2</f>
        <v>0.24859999999999999</v>
      </c>
      <c r="I2" s="1">
        <f>H2*MAX(C$2:C$113)/C2</f>
        <v>0.24859999999999999</v>
      </c>
      <c r="J2" s="1">
        <f>ACOS(1-2*(I2/MAX(I$3:I$111)))</f>
        <v>1.5945066147541467</v>
      </c>
      <c r="K2" s="1">
        <f>2*J$43-J2</f>
        <v>4.6886786924254391</v>
      </c>
      <c r="L2" s="1">
        <f>2*K$24-K2</f>
        <v>7.6135446824149522</v>
      </c>
      <c r="O2" s="1">
        <v>3.5355339059327376E-2</v>
      </c>
      <c r="P2" s="1">
        <f>L2/2/PI()</f>
        <v>1.211733270657354</v>
      </c>
    </row>
    <row r="3" spans="1:16">
      <c r="A3" s="1">
        <f>A2+0.1</f>
        <v>0.2</v>
      </c>
      <c r="B3" s="1">
        <v>0.24840000000000001</v>
      </c>
      <c r="C3" s="1">
        <v>25.47</v>
      </c>
      <c r="D3" s="10"/>
      <c r="E3" s="9"/>
      <c r="F3" s="1">
        <f t="shared" ref="F3:F66" si="1">A3</f>
        <v>0.2</v>
      </c>
      <c r="G3" s="1">
        <f t="shared" si="0"/>
        <v>7.0710678118654752E-2</v>
      </c>
      <c r="H3" s="1">
        <f t="shared" ref="H3:H66" si="2">B3</f>
        <v>0.24840000000000001</v>
      </c>
      <c r="I3" s="1">
        <f t="shared" ref="I3:I66" si="3">H3*MAX(C$2:C$113)/C3</f>
        <v>0.24869257950530035</v>
      </c>
      <c r="J3" s="1">
        <f t="shared" ref="J3:J43" si="4">ACOS(1-2*(I3/MAX(I$3:I$111)))</f>
        <v>1.5948879561201716</v>
      </c>
      <c r="K3" s="1">
        <f t="shared" ref="K3:K43" si="5">2*J$43-J3</f>
        <v>4.6882973510594148</v>
      </c>
      <c r="L3" s="1">
        <f t="shared" ref="L3:L24" si="6">2*K$24-K3</f>
        <v>7.6139260237809765</v>
      </c>
      <c r="O3" s="1">
        <v>7.0710678118654752E-2</v>
      </c>
      <c r="P3" s="1">
        <f t="shared" ref="P3:P66" si="7">L3/2/PI()</f>
        <v>1.2117939630207624</v>
      </c>
    </row>
    <row r="4" spans="1:16">
      <c r="A4" s="1">
        <f t="shared" ref="A4:A66" si="8">A3+0.1</f>
        <v>0.30000000000000004</v>
      </c>
      <c r="B4" s="1">
        <v>0.248</v>
      </c>
      <c r="C4" s="1">
        <v>25.48</v>
      </c>
      <c r="D4" s="10"/>
      <c r="E4" s="9"/>
      <c r="F4" s="1">
        <f t="shared" si="1"/>
        <v>0.30000000000000004</v>
      </c>
      <c r="G4" s="1">
        <f t="shared" si="0"/>
        <v>0.10606601717798214</v>
      </c>
      <c r="H4" s="1">
        <f t="shared" si="2"/>
        <v>0.248</v>
      </c>
      <c r="I4" s="1">
        <f t="shared" si="3"/>
        <v>0.24819466248037675</v>
      </c>
      <c r="J4" s="1">
        <f t="shared" si="4"/>
        <v>1.5928370414277448</v>
      </c>
      <c r="K4" s="1">
        <f t="shared" si="5"/>
        <v>4.6903482657518412</v>
      </c>
      <c r="L4" s="1">
        <f t="shared" si="6"/>
        <v>7.6118751090885501</v>
      </c>
      <c r="O4" s="1">
        <v>0.10606601717798214</v>
      </c>
      <c r="P4" s="1">
        <f t="shared" si="7"/>
        <v>1.2114675498096028</v>
      </c>
    </row>
    <row r="5" spans="1:16">
      <c r="A5" s="1">
        <f t="shared" si="8"/>
        <v>0.4</v>
      </c>
      <c r="B5" s="1">
        <v>0.2477</v>
      </c>
      <c r="C5" s="1">
        <v>25.46</v>
      </c>
      <c r="D5" s="10"/>
      <c r="E5" s="9"/>
      <c r="F5" s="1">
        <f t="shared" si="1"/>
        <v>0.4</v>
      </c>
      <c r="G5" s="1">
        <f t="shared" si="0"/>
        <v>0.1414213562373095</v>
      </c>
      <c r="H5" s="1">
        <f t="shared" si="2"/>
        <v>0.2477</v>
      </c>
      <c r="I5" s="1">
        <f t="shared" si="3"/>
        <v>0.24808915946582874</v>
      </c>
      <c r="J5" s="1">
        <f t="shared" si="4"/>
        <v>1.5924024878791705</v>
      </c>
      <c r="K5" s="1">
        <f t="shared" si="5"/>
        <v>4.6907828193004155</v>
      </c>
      <c r="L5" s="1">
        <f t="shared" si="6"/>
        <v>7.6114405555399758</v>
      </c>
      <c r="O5" s="1">
        <v>0.1414213562373095</v>
      </c>
      <c r="P5" s="1">
        <f t="shared" si="7"/>
        <v>1.2113983884643091</v>
      </c>
    </row>
    <row r="6" spans="1:16">
      <c r="A6" s="1">
        <f t="shared" si="8"/>
        <v>0.5</v>
      </c>
      <c r="B6" s="1">
        <v>0.24729999999999999</v>
      </c>
      <c r="C6" s="1">
        <v>25.45</v>
      </c>
      <c r="D6" s="10"/>
      <c r="E6" s="9"/>
      <c r="F6" s="1">
        <f t="shared" si="1"/>
        <v>0.5</v>
      </c>
      <c r="G6" s="1">
        <f t="shared" si="0"/>
        <v>0.17677669529663687</v>
      </c>
      <c r="H6" s="1">
        <f t="shared" si="2"/>
        <v>0.24729999999999999</v>
      </c>
      <c r="I6" s="1">
        <f t="shared" si="3"/>
        <v>0.24778585461689587</v>
      </c>
      <c r="J6" s="1">
        <f t="shared" si="4"/>
        <v>1.5911532360806186</v>
      </c>
      <c r="K6" s="1">
        <f t="shared" si="5"/>
        <v>4.6920320710989678</v>
      </c>
      <c r="L6" s="1">
        <f t="shared" si="6"/>
        <v>7.6101913037414235</v>
      </c>
      <c r="O6" s="1">
        <v>0.17677669529663687</v>
      </c>
      <c r="P6" s="1">
        <f t="shared" si="7"/>
        <v>1.2111995638654032</v>
      </c>
    </row>
    <row r="7" spans="1:16">
      <c r="A7" s="1">
        <f t="shared" si="8"/>
        <v>0.6</v>
      </c>
      <c r="B7" s="1">
        <v>0.24729999999999999</v>
      </c>
      <c r="C7" s="1">
        <v>25.43</v>
      </c>
      <c r="D7" s="10"/>
      <c r="E7" s="9"/>
      <c r="F7" s="1">
        <f t="shared" si="1"/>
        <v>0.6</v>
      </c>
      <c r="G7" s="1">
        <f t="shared" si="0"/>
        <v>0.21213203435596423</v>
      </c>
      <c r="H7" s="1">
        <f t="shared" si="2"/>
        <v>0.24729999999999999</v>
      </c>
      <c r="I7" s="1">
        <f t="shared" si="3"/>
        <v>0.24798073141958316</v>
      </c>
      <c r="J7" s="1">
        <f t="shared" si="4"/>
        <v>1.5919558907467797</v>
      </c>
      <c r="K7" s="1">
        <f t="shared" si="5"/>
        <v>4.6912294164328063</v>
      </c>
      <c r="L7" s="1">
        <f t="shared" si="6"/>
        <v>7.610993958407585</v>
      </c>
      <c r="O7" s="1">
        <v>0.21213203435596423</v>
      </c>
      <c r="P7" s="1">
        <f t="shared" si="7"/>
        <v>1.2113273103231184</v>
      </c>
    </row>
    <row r="8" spans="1:16">
      <c r="A8" s="1">
        <f t="shared" si="8"/>
        <v>0.7</v>
      </c>
      <c r="B8" s="1">
        <v>0.24640000000000001</v>
      </c>
      <c r="C8" s="1">
        <v>25.43</v>
      </c>
      <c r="D8" s="10"/>
      <c r="E8" s="9"/>
      <c r="F8" s="1">
        <f t="shared" si="1"/>
        <v>0.7</v>
      </c>
      <c r="G8" s="1">
        <f t="shared" si="0"/>
        <v>0.24748737341529159</v>
      </c>
      <c r="H8" s="1">
        <f t="shared" si="2"/>
        <v>0.24640000000000001</v>
      </c>
      <c r="I8" s="1">
        <f t="shared" si="3"/>
        <v>0.24707825403067243</v>
      </c>
      <c r="J8" s="1">
        <f t="shared" si="4"/>
        <v>1.5882388914416357</v>
      </c>
      <c r="K8" s="1">
        <f t="shared" si="5"/>
        <v>4.6949464157379506</v>
      </c>
      <c r="L8" s="1">
        <f t="shared" si="6"/>
        <v>7.6072769591024407</v>
      </c>
      <c r="O8" s="1">
        <v>0.24748737341529159</v>
      </c>
      <c r="P8" s="1">
        <f t="shared" si="7"/>
        <v>1.2107357315102356</v>
      </c>
    </row>
    <row r="9" spans="1:16">
      <c r="A9" s="1">
        <f t="shared" si="8"/>
        <v>0.79999999999999993</v>
      </c>
      <c r="B9" s="1">
        <v>0.246</v>
      </c>
      <c r="C9" s="1">
        <v>25.41</v>
      </c>
      <c r="D9" s="10"/>
      <c r="E9" s="9"/>
      <c r="F9" s="1">
        <f t="shared" si="1"/>
        <v>0.79999999999999993</v>
      </c>
      <c r="G9" s="1">
        <f t="shared" si="0"/>
        <v>0.28284271247461895</v>
      </c>
      <c r="H9" s="1">
        <f t="shared" si="2"/>
        <v>0.246</v>
      </c>
      <c r="I9" s="1">
        <f t="shared" si="3"/>
        <v>0.24687131050767414</v>
      </c>
      <c r="J9" s="1">
        <f t="shared" si="4"/>
        <v>1.587386596850517</v>
      </c>
      <c r="K9" s="1">
        <f t="shared" si="5"/>
        <v>4.6957987103290693</v>
      </c>
      <c r="L9" s="1">
        <f t="shared" si="6"/>
        <v>7.606424664511322</v>
      </c>
      <c r="O9" s="1">
        <v>0.28284271247461895</v>
      </c>
      <c r="P9" s="1">
        <f t="shared" si="7"/>
        <v>1.2106000846130887</v>
      </c>
    </row>
    <row r="10" spans="1:16">
      <c r="A10" s="1">
        <f t="shared" si="8"/>
        <v>0.89999999999999991</v>
      </c>
      <c r="B10" s="1">
        <v>0.24479999999999999</v>
      </c>
      <c r="C10" s="1">
        <v>25.41</v>
      </c>
      <c r="D10" s="10"/>
      <c r="E10" s="9"/>
      <c r="F10" s="1">
        <f t="shared" si="1"/>
        <v>0.89999999999999991</v>
      </c>
      <c r="G10" s="1">
        <f t="shared" si="0"/>
        <v>0.31819805153394631</v>
      </c>
      <c r="H10" s="1">
        <f t="shared" si="2"/>
        <v>0.24479999999999999</v>
      </c>
      <c r="I10" s="1">
        <f t="shared" si="3"/>
        <v>0.24566706021251475</v>
      </c>
      <c r="J10" s="1">
        <f t="shared" si="4"/>
        <v>1.5824271248285398</v>
      </c>
      <c r="K10" s="1">
        <f t="shared" si="5"/>
        <v>4.7007581823510467</v>
      </c>
      <c r="L10" s="1">
        <f t="shared" si="6"/>
        <v>7.6014651924893446</v>
      </c>
      <c r="O10" s="1">
        <v>0.31819805153394631</v>
      </c>
      <c r="P10" s="1">
        <f t="shared" si="7"/>
        <v>1.2098107601256649</v>
      </c>
    </row>
    <row r="11" spans="1:16">
      <c r="A11" s="1">
        <f t="shared" si="8"/>
        <v>0.99999999999999989</v>
      </c>
      <c r="B11" s="1">
        <v>0.24379999999999999</v>
      </c>
      <c r="C11" s="1">
        <v>25.4</v>
      </c>
      <c r="D11" s="10"/>
      <c r="E11" s="9"/>
      <c r="F11" s="1">
        <f t="shared" si="1"/>
        <v>0.99999999999999989</v>
      </c>
      <c r="G11" s="1">
        <f t="shared" si="0"/>
        <v>0.35355339059327368</v>
      </c>
      <c r="H11" s="1">
        <f t="shared" si="2"/>
        <v>0.24379999999999999</v>
      </c>
      <c r="I11" s="1">
        <f t="shared" si="3"/>
        <v>0.24475984251968505</v>
      </c>
      <c r="J11" s="1">
        <f t="shared" si="4"/>
        <v>1.5786911197137483</v>
      </c>
      <c r="K11" s="1">
        <f t="shared" si="5"/>
        <v>4.7044941874658379</v>
      </c>
      <c r="L11" s="1">
        <f t="shared" si="6"/>
        <v>7.5977291873745534</v>
      </c>
      <c r="O11" s="1">
        <v>0.35355339059327368</v>
      </c>
      <c r="P11" s="1">
        <f t="shared" si="7"/>
        <v>1.2092161564442292</v>
      </c>
    </row>
    <row r="12" spans="1:16">
      <c r="A12" s="1">
        <f t="shared" si="8"/>
        <v>1.0999999999999999</v>
      </c>
      <c r="B12" s="1">
        <v>0.2419</v>
      </c>
      <c r="C12" s="1">
        <v>25.39</v>
      </c>
      <c r="D12" s="10"/>
      <c r="E12" s="9"/>
      <c r="F12" s="1">
        <f t="shared" si="1"/>
        <v>1.0999999999999999</v>
      </c>
      <c r="G12" s="1">
        <f t="shared" si="0"/>
        <v>0.38890872965260104</v>
      </c>
      <c r="H12" s="1">
        <f t="shared" si="2"/>
        <v>0.2419</v>
      </c>
      <c r="I12" s="1">
        <f t="shared" si="3"/>
        <v>0.24294801102796376</v>
      </c>
      <c r="J12" s="1">
        <f t="shared" si="4"/>
        <v>1.571230110471715</v>
      </c>
      <c r="K12" s="1">
        <f t="shared" si="5"/>
        <v>4.711955196707871</v>
      </c>
      <c r="L12" s="1">
        <f t="shared" si="6"/>
        <v>7.5902681781325203</v>
      </c>
      <c r="O12" s="1">
        <v>0.38890872965260104</v>
      </c>
      <c r="P12" s="1">
        <f t="shared" si="7"/>
        <v>1.2080286999429055</v>
      </c>
    </row>
    <row r="13" spans="1:16">
      <c r="A13" s="1">
        <f t="shared" si="8"/>
        <v>1.2</v>
      </c>
      <c r="B13" s="1">
        <v>0.23899999999999999</v>
      </c>
      <c r="C13" s="1">
        <v>25.39</v>
      </c>
      <c r="D13" s="10"/>
      <c r="E13" s="9"/>
      <c r="F13" s="1">
        <f t="shared" si="1"/>
        <v>1.2</v>
      </c>
      <c r="G13" s="1">
        <f t="shared" si="0"/>
        <v>0.42426406871192845</v>
      </c>
      <c r="H13" s="1">
        <f t="shared" si="2"/>
        <v>0.23899999999999999</v>
      </c>
      <c r="I13" s="1">
        <f t="shared" si="3"/>
        <v>0.24003544702638835</v>
      </c>
      <c r="J13" s="1">
        <f t="shared" si="4"/>
        <v>1.5592362276339082</v>
      </c>
      <c r="K13" s="1">
        <f t="shared" si="5"/>
        <v>4.7239490795456778</v>
      </c>
      <c r="L13" s="1">
        <f t="shared" si="6"/>
        <v>7.5782742952947135</v>
      </c>
      <c r="O13" s="1">
        <v>0.42426406871192845</v>
      </c>
      <c r="P13" s="1">
        <f t="shared" si="7"/>
        <v>1.2061198142024034</v>
      </c>
    </row>
    <row r="14" spans="1:16">
      <c r="A14" s="1">
        <f t="shared" si="8"/>
        <v>1.3</v>
      </c>
      <c r="B14" s="1">
        <v>0.23449999999999999</v>
      </c>
      <c r="C14" s="1">
        <v>25.38</v>
      </c>
      <c r="D14" s="10"/>
      <c r="E14" s="9"/>
      <c r="F14" s="1">
        <f t="shared" si="1"/>
        <v>1.3</v>
      </c>
      <c r="G14" s="1">
        <f t="shared" si="0"/>
        <v>0.45961940777125587</v>
      </c>
      <c r="H14" s="1">
        <f t="shared" si="2"/>
        <v>0.23449999999999999</v>
      </c>
      <c r="I14" s="1">
        <f t="shared" si="3"/>
        <v>0.23560874704491724</v>
      </c>
      <c r="J14" s="1">
        <f t="shared" si="4"/>
        <v>1.5410034033521383</v>
      </c>
      <c r="K14" s="1">
        <f t="shared" si="5"/>
        <v>4.742181903827448</v>
      </c>
      <c r="L14" s="1">
        <f t="shared" si="6"/>
        <v>7.5600414710129433</v>
      </c>
      <c r="O14" s="1">
        <v>0.45961940777125587</v>
      </c>
      <c r="P14" s="1">
        <f t="shared" si="7"/>
        <v>1.2032179700914338</v>
      </c>
    </row>
    <row r="15" spans="1:16">
      <c r="A15" s="1">
        <f t="shared" si="8"/>
        <v>1.4000000000000001</v>
      </c>
      <c r="B15" s="1">
        <v>0.22689999999999999</v>
      </c>
      <c r="C15" s="1">
        <v>25.38</v>
      </c>
      <c r="D15" s="10"/>
      <c r="E15" s="9"/>
      <c r="F15" s="1">
        <f t="shared" si="1"/>
        <v>1.4000000000000001</v>
      </c>
      <c r="G15" s="1">
        <f t="shared" si="0"/>
        <v>0.49497474683058329</v>
      </c>
      <c r="H15" s="1">
        <f t="shared" si="2"/>
        <v>0.22689999999999999</v>
      </c>
      <c r="I15" s="1">
        <f t="shared" si="3"/>
        <v>0.22797281323877069</v>
      </c>
      <c r="J15" s="1">
        <f t="shared" si="4"/>
        <v>1.5095255273070116</v>
      </c>
      <c r="K15" s="1">
        <f t="shared" si="5"/>
        <v>4.7736597798725748</v>
      </c>
      <c r="L15" s="1">
        <f t="shared" si="6"/>
        <v>7.5285635949678165</v>
      </c>
      <c r="O15" s="1">
        <v>0.49497474683058329</v>
      </c>
      <c r="P15" s="1">
        <f t="shared" si="7"/>
        <v>1.1982081105208178</v>
      </c>
    </row>
    <row r="16" spans="1:16">
      <c r="A16" s="1">
        <f t="shared" si="8"/>
        <v>1.5000000000000002</v>
      </c>
      <c r="B16" s="1">
        <v>0.21329999999999999</v>
      </c>
      <c r="C16" s="1">
        <v>25.38</v>
      </c>
      <c r="D16" s="10"/>
      <c r="E16" s="9"/>
      <c r="F16" s="1">
        <f t="shared" si="1"/>
        <v>1.5000000000000002</v>
      </c>
      <c r="G16" s="1">
        <f t="shared" si="0"/>
        <v>0.53033008588991071</v>
      </c>
      <c r="H16" s="1">
        <f t="shared" si="2"/>
        <v>0.21329999999999999</v>
      </c>
      <c r="I16" s="1">
        <f t="shared" si="3"/>
        <v>0.21430851063829787</v>
      </c>
      <c r="J16" s="1">
        <f t="shared" si="4"/>
        <v>1.4530236573580666</v>
      </c>
      <c r="K16" s="1">
        <f t="shared" si="5"/>
        <v>4.8301616498215196</v>
      </c>
      <c r="L16" s="1">
        <f t="shared" si="6"/>
        <v>7.4720617250188717</v>
      </c>
      <c r="O16" s="1">
        <v>0.53033008588991071</v>
      </c>
      <c r="P16" s="1">
        <f t="shared" si="7"/>
        <v>1.1892155586245079</v>
      </c>
    </row>
    <row r="17" spans="1:16">
      <c r="A17" s="1">
        <f t="shared" si="8"/>
        <v>1.6000000000000003</v>
      </c>
      <c r="B17" s="1">
        <v>0.1915</v>
      </c>
      <c r="C17" s="1">
        <v>25.36</v>
      </c>
      <c r="D17" s="10"/>
      <c r="E17" s="9"/>
      <c r="F17" s="1">
        <f t="shared" si="1"/>
        <v>1.6000000000000003</v>
      </c>
      <c r="G17" s="1">
        <f t="shared" si="0"/>
        <v>0.56568542494923812</v>
      </c>
      <c r="H17" s="1">
        <f t="shared" si="2"/>
        <v>0.1915</v>
      </c>
      <c r="I17" s="1">
        <f t="shared" si="3"/>
        <v>0.19255717665615144</v>
      </c>
      <c r="J17" s="1">
        <f t="shared" si="4"/>
        <v>1.3622169736270864</v>
      </c>
      <c r="K17" s="1">
        <f t="shared" si="5"/>
        <v>4.9209683335524996</v>
      </c>
      <c r="L17" s="1">
        <f t="shared" si="6"/>
        <v>7.3812550412878917</v>
      </c>
      <c r="O17" s="1">
        <v>0.56568542494923812</v>
      </c>
      <c r="P17" s="1">
        <f t="shared" si="7"/>
        <v>1.1747632260429399</v>
      </c>
    </row>
    <row r="18" spans="1:16">
      <c r="A18" s="1">
        <f t="shared" si="8"/>
        <v>1.7000000000000004</v>
      </c>
      <c r="B18" s="1">
        <v>0.16239999999999999</v>
      </c>
      <c r="C18" s="1">
        <v>25.36</v>
      </c>
      <c r="D18" s="10"/>
      <c r="E18" s="9"/>
      <c r="F18" s="1">
        <f t="shared" si="1"/>
        <v>1.7000000000000004</v>
      </c>
      <c r="G18" s="1">
        <f t="shared" si="0"/>
        <v>0.60104076400856554</v>
      </c>
      <c r="H18" s="1">
        <f t="shared" si="2"/>
        <v>0.16239999999999999</v>
      </c>
      <c r="I18" s="1">
        <f t="shared" si="3"/>
        <v>0.16329652996845426</v>
      </c>
      <c r="J18" s="1">
        <f t="shared" si="4"/>
        <v>1.2370737927644915</v>
      </c>
      <c r="K18" s="1">
        <f t="shared" si="5"/>
        <v>5.0461115144150952</v>
      </c>
      <c r="L18" s="1">
        <f t="shared" si="6"/>
        <v>7.2561118604252961</v>
      </c>
      <c r="O18" s="1">
        <v>0.60104076400856554</v>
      </c>
      <c r="P18" s="1">
        <f t="shared" si="7"/>
        <v>1.1548460702144148</v>
      </c>
    </row>
    <row r="19" spans="1:16">
      <c r="A19" s="1">
        <f t="shared" si="8"/>
        <v>1.8000000000000005</v>
      </c>
      <c r="B19" s="1">
        <v>0.12820000000000001</v>
      </c>
      <c r="C19" s="1">
        <v>25.35</v>
      </c>
      <c r="D19" s="10"/>
      <c r="E19" s="9"/>
      <c r="F19" s="1">
        <f t="shared" si="1"/>
        <v>1.8000000000000005</v>
      </c>
      <c r="G19" s="1">
        <f t="shared" si="0"/>
        <v>0.63639610306789285</v>
      </c>
      <c r="H19" s="1">
        <f t="shared" si="2"/>
        <v>0.12820000000000001</v>
      </c>
      <c r="I19" s="1">
        <f t="shared" si="3"/>
        <v>0.12895857988165682</v>
      </c>
      <c r="J19" s="1">
        <f t="shared" si="4"/>
        <v>1.0826806698923728</v>
      </c>
      <c r="K19" s="1">
        <f t="shared" si="5"/>
        <v>5.2005046372872137</v>
      </c>
      <c r="L19" s="1">
        <f t="shared" si="6"/>
        <v>7.1017187375531776</v>
      </c>
      <c r="O19" s="1">
        <v>0.63639610306789285</v>
      </c>
      <c r="P19" s="1">
        <f t="shared" si="7"/>
        <v>1.1302736415299228</v>
      </c>
    </row>
    <row r="20" spans="1:16">
      <c r="A20" s="1">
        <f t="shared" si="8"/>
        <v>1.9000000000000006</v>
      </c>
      <c r="B20" s="1">
        <v>9.2999999999999999E-2</v>
      </c>
      <c r="C20" s="1">
        <v>25.35</v>
      </c>
      <c r="D20" s="10"/>
      <c r="E20" s="9"/>
      <c r="F20" s="1">
        <f t="shared" si="1"/>
        <v>1.9000000000000006</v>
      </c>
      <c r="G20" s="1">
        <f t="shared" si="0"/>
        <v>0.67175144212722027</v>
      </c>
      <c r="H20" s="1">
        <f t="shared" si="2"/>
        <v>9.2999999999999999E-2</v>
      </c>
      <c r="I20" s="1">
        <f t="shared" si="3"/>
        <v>9.3550295857988172E-2</v>
      </c>
      <c r="J20" s="1">
        <f t="shared" si="4"/>
        <v>0.90870208408389364</v>
      </c>
      <c r="K20" s="1">
        <f t="shared" si="5"/>
        <v>5.3744832230956927</v>
      </c>
      <c r="L20" s="1">
        <f t="shared" si="6"/>
        <v>6.9277401517446986</v>
      </c>
      <c r="O20" s="1">
        <v>0.67175144212722027</v>
      </c>
      <c r="P20" s="1">
        <f t="shared" si="7"/>
        <v>1.1025840896063659</v>
      </c>
    </row>
    <row r="21" spans="1:16">
      <c r="A21" s="1">
        <f t="shared" si="8"/>
        <v>2.0000000000000004</v>
      </c>
      <c r="B21" s="1">
        <v>0.06</v>
      </c>
      <c r="C21" s="1">
        <v>25.35</v>
      </c>
      <c r="D21" s="10"/>
      <c r="E21" s="9"/>
      <c r="F21" s="1">
        <f t="shared" si="1"/>
        <v>2.0000000000000004</v>
      </c>
      <c r="G21" s="1">
        <f t="shared" si="0"/>
        <v>0.70710678118654768</v>
      </c>
      <c r="H21" s="1">
        <f t="shared" si="2"/>
        <v>0.06</v>
      </c>
      <c r="I21" s="1">
        <f t="shared" si="3"/>
        <v>6.0355029585798817E-2</v>
      </c>
      <c r="J21" s="1">
        <f t="shared" si="4"/>
        <v>0.72051737630922585</v>
      </c>
      <c r="K21" s="1">
        <f t="shared" si="5"/>
        <v>5.5626679308703606</v>
      </c>
      <c r="L21" s="1">
        <f t="shared" si="6"/>
        <v>6.7395554439700307</v>
      </c>
      <c r="O21" s="1">
        <v>0.70710678118654768</v>
      </c>
      <c r="P21" s="1">
        <f t="shared" si="7"/>
        <v>1.0726335631497237</v>
      </c>
    </row>
    <row r="22" spans="1:16">
      <c r="A22" s="1">
        <f t="shared" si="8"/>
        <v>2.1000000000000005</v>
      </c>
      <c r="B22" s="1">
        <v>3.2199999999999999E-2</v>
      </c>
      <c r="C22" s="1">
        <v>25.32</v>
      </c>
      <c r="D22" s="10"/>
      <c r="E22" s="9"/>
      <c r="F22" s="1">
        <f t="shared" si="1"/>
        <v>2.1000000000000005</v>
      </c>
      <c r="G22" s="1">
        <f t="shared" si="0"/>
        <v>0.74246212024587499</v>
      </c>
      <c r="H22" s="1">
        <f t="shared" si="2"/>
        <v>3.2199999999999999E-2</v>
      </c>
      <c r="I22" s="1">
        <f t="shared" si="3"/>
        <v>3.2428909952606631E-2</v>
      </c>
      <c r="J22" s="1">
        <f t="shared" si="4"/>
        <v>0.52272645185008093</v>
      </c>
      <c r="K22" s="1">
        <f t="shared" si="5"/>
        <v>5.7604588553295049</v>
      </c>
      <c r="L22" s="1">
        <f t="shared" si="6"/>
        <v>6.5417645195108864</v>
      </c>
      <c r="O22" s="1">
        <v>0.74246212024587499</v>
      </c>
      <c r="P22" s="1">
        <f t="shared" si="7"/>
        <v>1.0411541598233351</v>
      </c>
    </row>
    <row r="23" spans="1:16">
      <c r="A23" s="1">
        <f t="shared" si="8"/>
        <v>2.2000000000000006</v>
      </c>
      <c r="B23" s="1">
        <v>1.23E-2</v>
      </c>
      <c r="C23" s="1">
        <v>25.33</v>
      </c>
      <c r="D23" s="10"/>
      <c r="E23" s="9"/>
      <c r="F23" s="1">
        <f t="shared" si="1"/>
        <v>2.2000000000000006</v>
      </c>
      <c r="G23" s="1">
        <f t="shared" si="0"/>
        <v>0.77781745930520241</v>
      </c>
      <c r="H23" s="1">
        <f t="shared" si="2"/>
        <v>1.23E-2</v>
      </c>
      <c r="I23" s="1">
        <f t="shared" si="3"/>
        <v>1.238255033557047E-2</v>
      </c>
      <c r="J23" s="1">
        <f t="shared" si="4"/>
        <v>0.32071585990595475</v>
      </c>
      <c r="K23" s="1">
        <f t="shared" si="5"/>
        <v>5.9624694472736319</v>
      </c>
      <c r="L23" s="1">
        <f t="shared" si="6"/>
        <v>6.3397539275667594</v>
      </c>
      <c r="O23" s="1">
        <v>0.77781745930520241</v>
      </c>
      <c r="P23" s="1">
        <f t="shared" si="7"/>
        <v>1.0090031755585076</v>
      </c>
    </row>
    <row r="24" spans="1:16">
      <c r="A24" s="1">
        <f t="shared" si="8"/>
        <v>2.3000000000000007</v>
      </c>
      <c r="B24" s="1">
        <v>2.0999999999999999E-3</v>
      </c>
      <c r="C24" s="1">
        <v>25.32</v>
      </c>
      <c r="D24" s="10"/>
      <c r="E24" s="9"/>
      <c r="F24" s="1">
        <f t="shared" si="1"/>
        <v>2.3000000000000007</v>
      </c>
      <c r="G24" s="1">
        <f t="shared" si="0"/>
        <v>0.81317279836452983</v>
      </c>
      <c r="H24" s="1">
        <f t="shared" si="2"/>
        <v>2.0999999999999999E-3</v>
      </c>
      <c r="I24" s="1">
        <f t="shared" si="3"/>
        <v>2.1149289099526062E-3</v>
      </c>
      <c r="J24" s="1">
        <f t="shared" si="4"/>
        <v>0.13207361975939058</v>
      </c>
      <c r="K24" s="1">
        <f t="shared" si="5"/>
        <v>6.1511116874201957</v>
      </c>
      <c r="L24" s="1">
        <f t="shared" si="6"/>
        <v>6.1511116874201957</v>
      </c>
      <c r="O24" s="1">
        <v>0.81317279836452983</v>
      </c>
      <c r="P24" s="1">
        <f t="shared" si="7"/>
        <v>0.97897983056325355</v>
      </c>
    </row>
    <row r="25" spans="1:16">
      <c r="A25" s="1">
        <f t="shared" si="8"/>
        <v>2.4000000000000008</v>
      </c>
      <c r="B25" s="1">
        <v>2.8999999999999998E-3</v>
      </c>
      <c r="C25" s="1">
        <v>25.33</v>
      </c>
      <c r="D25" s="10"/>
      <c r="E25" s="9"/>
      <c r="F25" s="1">
        <f t="shared" si="1"/>
        <v>2.4000000000000008</v>
      </c>
      <c r="G25" s="1">
        <f t="shared" si="0"/>
        <v>0.84852813742385724</v>
      </c>
      <c r="H25" s="1">
        <f t="shared" si="2"/>
        <v>2.8999999999999998E-3</v>
      </c>
      <c r="I25" s="1">
        <f t="shared" si="3"/>
        <v>2.919463087248322E-3</v>
      </c>
      <c r="J25" s="1">
        <f t="shared" si="4"/>
        <v>0.15521727216671422</v>
      </c>
      <c r="K25" s="1">
        <f t="shared" si="5"/>
        <v>6.1279680350128718</v>
      </c>
      <c r="L25" s="1">
        <v>6.1279680350128718</v>
      </c>
      <c r="O25" s="1">
        <v>0.84852813742385724</v>
      </c>
      <c r="P25" s="1">
        <f t="shared" si="7"/>
        <v>0.97529640388142735</v>
      </c>
    </row>
    <row r="26" spans="1:16">
      <c r="A26" s="1">
        <f t="shared" si="8"/>
        <v>2.5000000000000009</v>
      </c>
      <c r="B26" s="1">
        <v>1.4999999999999999E-2</v>
      </c>
      <c r="C26" s="1">
        <v>25.31</v>
      </c>
      <c r="D26" s="10"/>
      <c r="E26" s="9"/>
      <c r="F26" s="1">
        <f t="shared" si="1"/>
        <v>2.5000000000000009</v>
      </c>
      <c r="G26" s="1">
        <f t="shared" si="0"/>
        <v>0.88388347648318466</v>
      </c>
      <c r="H26" s="1">
        <f t="shared" si="2"/>
        <v>1.4999999999999999E-2</v>
      </c>
      <c r="I26" s="1">
        <f t="shared" si="3"/>
        <v>1.5112603713947058E-2</v>
      </c>
      <c r="J26" s="1">
        <f t="shared" si="4"/>
        <v>0.3546504750101791</v>
      </c>
      <c r="K26" s="1">
        <f t="shared" si="5"/>
        <v>5.9285348321694071</v>
      </c>
      <c r="L26" s="1">
        <v>5.9285348321694071</v>
      </c>
      <c r="O26" s="1">
        <v>0.88388347648318466</v>
      </c>
      <c r="P26" s="1">
        <f t="shared" si="7"/>
        <v>0.94355562383224134</v>
      </c>
    </row>
    <row r="27" spans="1:16">
      <c r="A27" s="1">
        <f t="shared" si="8"/>
        <v>2.600000000000001</v>
      </c>
      <c r="B27" s="1">
        <v>3.7600000000000001E-2</v>
      </c>
      <c r="C27" s="1">
        <v>25.32</v>
      </c>
      <c r="D27" s="10"/>
      <c r="E27" s="9"/>
      <c r="F27" s="1">
        <f t="shared" si="1"/>
        <v>2.600000000000001</v>
      </c>
      <c r="G27" s="1">
        <f t="shared" si="0"/>
        <v>0.91923881554251208</v>
      </c>
      <c r="H27" s="1">
        <f t="shared" si="2"/>
        <v>3.7600000000000001E-2</v>
      </c>
      <c r="I27" s="1">
        <f t="shared" si="3"/>
        <v>3.7867298578199052E-2</v>
      </c>
      <c r="J27" s="1">
        <f t="shared" si="4"/>
        <v>0.56597431387787189</v>
      </c>
      <c r="K27" s="1">
        <f t="shared" si="5"/>
        <v>5.7172109933017143</v>
      </c>
      <c r="L27" s="1">
        <v>5.7172109933017143</v>
      </c>
      <c r="O27" s="1">
        <v>0.91923881554251208</v>
      </c>
      <c r="P27" s="1">
        <f t="shared" si="7"/>
        <v>0.9099223902832928</v>
      </c>
    </row>
    <row r="28" spans="1:16">
      <c r="A28" s="1">
        <f t="shared" si="8"/>
        <v>2.7000000000000011</v>
      </c>
      <c r="B28" s="1">
        <v>6.88E-2</v>
      </c>
      <c r="C28" s="1">
        <v>25.31</v>
      </c>
      <c r="D28" s="1"/>
      <c r="E28" s="9"/>
      <c r="F28" s="1">
        <f t="shared" si="1"/>
        <v>2.7000000000000011</v>
      </c>
      <c r="G28" s="1">
        <f t="shared" si="0"/>
        <v>0.9545941546018395</v>
      </c>
      <c r="H28" s="1">
        <f t="shared" si="2"/>
        <v>6.88E-2</v>
      </c>
      <c r="I28" s="1">
        <f t="shared" si="3"/>
        <v>6.9316475701303837E-2</v>
      </c>
      <c r="J28" s="1">
        <f t="shared" si="4"/>
        <v>0.77479822159494804</v>
      </c>
      <c r="K28" s="1">
        <f t="shared" si="5"/>
        <v>5.508387085584638</v>
      </c>
      <c r="L28" s="1">
        <v>5.508387085584638</v>
      </c>
      <c r="O28" s="1">
        <v>0.9545941546018395</v>
      </c>
      <c r="P28" s="1">
        <f t="shared" si="7"/>
        <v>0.87668703313435425</v>
      </c>
    </row>
    <row r="29" spans="1:16">
      <c r="A29" s="1">
        <f t="shared" si="8"/>
        <v>2.8000000000000012</v>
      </c>
      <c r="B29" s="1">
        <v>0.1066</v>
      </c>
      <c r="C29" s="1">
        <v>25.3</v>
      </c>
      <c r="D29" s="1"/>
      <c r="E29" s="9"/>
      <c r="F29" s="1">
        <f t="shared" si="1"/>
        <v>2.8000000000000012</v>
      </c>
      <c r="G29" s="1">
        <f t="shared" si="0"/>
        <v>0.98994949366116691</v>
      </c>
      <c r="H29" s="1">
        <f t="shared" si="2"/>
        <v>0.1066</v>
      </c>
      <c r="I29" s="1">
        <f t="shared" si="3"/>
        <v>0.10744268774703558</v>
      </c>
      <c r="J29" s="1">
        <f t="shared" si="4"/>
        <v>0.979349622341528</v>
      </c>
      <c r="K29" s="1">
        <f t="shared" si="5"/>
        <v>5.3038356848380586</v>
      </c>
      <c r="L29" s="1">
        <v>5.3038356848380586</v>
      </c>
      <c r="O29" s="1">
        <v>0.98994949366116691</v>
      </c>
      <c r="P29" s="1">
        <f t="shared" si="7"/>
        <v>0.84413166658916494</v>
      </c>
    </row>
    <row r="30" spans="1:16">
      <c r="A30" s="1">
        <f t="shared" si="8"/>
        <v>2.9000000000000012</v>
      </c>
      <c r="B30" s="1">
        <v>0.14810000000000001</v>
      </c>
      <c r="C30" s="1">
        <v>25.3</v>
      </c>
      <c r="D30" s="1"/>
      <c r="E30" s="9"/>
      <c r="F30" s="1">
        <f t="shared" si="1"/>
        <v>2.9000000000000012</v>
      </c>
      <c r="G30" s="1">
        <f t="shared" si="0"/>
        <v>1.0253048327204943</v>
      </c>
      <c r="H30" s="1">
        <f t="shared" si="2"/>
        <v>0.14810000000000001</v>
      </c>
      <c r="I30" s="1">
        <f t="shared" si="3"/>
        <v>0.1492707509881423</v>
      </c>
      <c r="J30" s="1">
        <f t="shared" si="4"/>
        <v>1.1752427281454914</v>
      </c>
      <c r="K30" s="1">
        <f t="shared" si="5"/>
        <v>5.1079425790340949</v>
      </c>
      <c r="L30" s="1">
        <v>5.1079425790340949</v>
      </c>
      <c r="O30" s="1">
        <v>1.0253048327204943</v>
      </c>
      <c r="P30" s="1">
        <f t="shared" si="7"/>
        <v>0.8129543104828405</v>
      </c>
    </row>
    <row r="31" spans="1:16">
      <c r="A31" s="1">
        <f t="shared" si="8"/>
        <v>3.0000000000000013</v>
      </c>
      <c r="B31" s="1">
        <v>0.19139999999999999</v>
      </c>
      <c r="C31" s="1">
        <v>25.3</v>
      </c>
      <c r="D31" s="1"/>
      <c r="E31" s="9"/>
      <c r="F31" s="1">
        <f t="shared" si="1"/>
        <v>3.0000000000000013</v>
      </c>
      <c r="G31" s="1">
        <f t="shared" si="0"/>
        <v>1.0606601717798216</v>
      </c>
      <c r="H31" s="1">
        <f t="shared" si="2"/>
        <v>0.19139999999999999</v>
      </c>
      <c r="I31" s="1">
        <f t="shared" si="3"/>
        <v>0.19291304347826085</v>
      </c>
      <c r="J31" s="1">
        <f t="shared" si="4"/>
        <v>1.3637146231987565</v>
      </c>
      <c r="K31" s="1">
        <f t="shared" si="5"/>
        <v>4.9194706839808298</v>
      </c>
      <c r="L31" s="1">
        <v>4.9194706839808298</v>
      </c>
      <c r="O31" s="1">
        <v>1.0606601717798216</v>
      </c>
      <c r="P31" s="1">
        <f t="shared" si="7"/>
        <v>0.78295807675121643</v>
      </c>
    </row>
    <row r="32" spans="1:16">
      <c r="A32" s="1">
        <f t="shared" si="8"/>
        <v>3.1000000000000014</v>
      </c>
      <c r="B32" s="1">
        <v>0.2341</v>
      </c>
      <c r="C32" s="1">
        <v>25.28</v>
      </c>
      <c r="D32" s="1"/>
      <c r="E32" s="9"/>
      <c r="F32" s="1">
        <f t="shared" si="1"/>
        <v>3.1000000000000014</v>
      </c>
      <c r="G32" s="1">
        <f t="shared" si="0"/>
        <v>1.0960155108391492</v>
      </c>
      <c r="H32" s="1">
        <f t="shared" si="2"/>
        <v>0.2341</v>
      </c>
      <c r="I32" s="1">
        <f t="shared" si="3"/>
        <v>0.23613726265822785</v>
      </c>
      <c r="J32" s="1">
        <f t="shared" si="4"/>
        <v>1.5431806711463059</v>
      </c>
      <c r="K32" s="1">
        <f t="shared" si="5"/>
        <v>4.7400046360332801</v>
      </c>
      <c r="L32" s="1">
        <v>4.7400046360332801</v>
      </c>
      <c r="O32" s="1">
        <v>1.0960155108391492</v>
      </c>
      <c r="P32" s="1">
        <f t="shared" si="7"/>
        <v>0.75439516810319684</v>
      </c>
    </row>
    <row r="33" spans="1:16">
      <c r="A33" s="1">
        <f t="shared" si="8"/>
        <v>3.2000000000000015</v>
      </c>
      <c r="B33" s="1">
        <v>0.27539999999999998</v>
      </c>
      <c r="C33" s="1">
        <v>25.26</v>
      </c>
      <c r="D33" s="1"/>
      <c r="E33" s="9"/>
      <c r="F33" s="1">
        <f t="shared" si="1"/>
        <v>3.2000000000000015</v>
      </c>
      <c r="G33" s="1">
        <f t="shared" si="0"/>
        <v>1.1313708498984765</v>
      </c>
      <c r="H33" s="1">
        <f t="shared" si="2"/>
        <v>0.27539999999999998</v>
      </c>
      <c r="I33" s="1">
        <f t="shared" si="3"/>
        <v>0.27801662707838476</v>
      </c>
      <c r="J33" s="1">
        <f t="shared" si="4"/>
        <v>1.7161501930510275</v>
      </c>
      <c r="K33" s="1">
        <f t="shared" si="5"/>
        <v>4.5670351141285588</v>
      </c>
      <c r="L33" s="1">
        <v>4.5670351141285588</v>
      </c>
      <c r="O33" s="1">
        <v>1.1313708498984765</v>
      </c>
      <c r="P33" s="1">
        <f t="shared" si="7"/>
        <v>0.72686621368781856</v>
      </c>
    </row>
    <row r="34" spans="1:16">
      <c r="A34" s="1">
        <f t="shared" si="8"/>
        <v>3.3000000000000016</v>
      </c>
      <c r="B34" s="1">
        <v>0.314</v>
      </c>
      <c r="C34" s="1">
        <v>25.26</v>
      </c>
      <c r="D34" s="1"/>
      <c r="E34" s="9"/>
      <c r="F34" s="1">
        <f t="shared" si="1"/>
        <v>3.3000000000000016</v>
      </c>
      <c r="G34" s="1">
        <f t="shared" si="0"/>
        <v>1.166726188957804</v>
      </c>
      <c r="H34" s="1">
        <f t="shared" si="2"/>
        <v>0.314</v>
      </c>
      <c r="I34" s="1">
        <f t="shared" si="3"/>
        <v>0.31698337292161516</v>
      </c>
      <c r="J34" s="1">
        <f t="shared" si="4"/>
        <v>1.881053396474297</v>
      </c>
      <c r="K34" s="1">
        <f t="shared" si="5"/>
        <v>4.4021319107052896</v>
      </c>
      <c r="L34" s="1">
        <v>4.4021319107052896</v>
      </c>
      <c r="O34" s="1">
        <v>1.166726188957804</v>
      </c>
      <c r="P34" s="1">
        <f t="shared" si="7"/>
        <v>0.70062105373131689</v>
      </c>
    </row>
    <row r="35" spans="1:16">
      <c r="A35" s="1">
        <f t="shared" si="8"/>
        <v>3.4000000000000017</v>
      </c>
      <c r="B35" s="1">
        <v>0.34899999999999998</v>
      </c>
      <c r="C35" s="1">
        <v>25.24</v>
      </c>
      <c r="D35" s="1"/>
      <c r="E35" s="9"/>
      <c r="F35" s="1">
        <f t="shared" si="1"/>
        <v>3.4000000000000017</v>
      </c>
      <c r="G35" s="1">
        <f t="shared" si="0"/>
        <v>1.2020815280171313</v>
      </c>
      <c r="H35" s="1">
        <f t="shared" si="2"/>
        <v>0.34899999999999998</v>
      </c>
      <c r="I35" s="1">
        <f t="shared" si="3"/>
        <v>0.35259508716323296</v>
      </c>
      <c r="J35" s="1">
        <f t="shared" si="4"/>
        <v>2.0397449400281369</v>
      </c>
      <c r="K35" s="1">
        <f t="shared" si="5"/>
        <v>4.2434403671514493</v>
      </c>
      <c r="L35" s="1">
        <v>4.2434403671514493</v>
      </c>
      <c r="O35" s="1">
        <v>1.2020815280171313</v>
      </c>
      <c r="P35" s="1">
        <f t="shared" si="7"/>
        <v>0.67536451014784038</v>
      </c>
    </row>
    <row r="36" spans="1:16">
      <c r="A36" s="1">
        <f t="shared" si="8"/>
        <v>3.5000000000000018</v>
      </c>
      <c r="B36" s="1">
        <v>0.38040000000000002</v>
      </c>
      <c r="C36" s="1">
        <v>25.25</v>
      </c>
      <c r="D36" s="1"/>
      <c r="E36" s="9"/>
      <c r="F36" s="1">
        <f t="shared" si="1"/>
        <v>3.5000000000000018</v>
      </c>
      <c r="G36" s="1">
        <f t="shared" si="0"/>
        <v>1.2374368670764586</v>
      </c>
      <c r="H36" s="1">
        <f t="shared" si="2"/>
        <v>0.38040000000000002</v>
      </c>
      <c r="I36" s="1">
        <f t="shared" si="3"/>
        <v>0.3841663366336634</v>
      </c>
      <c r="J36" s="1">
        <f t="shared" si="4"/>
        <v>2.1919277905595025</v>
      </c>
      <c r="K36" s="1">
        <f t="shared" si="5"/>
        <v>4.0912575166200842</v>
      </c>
      <c r="L36" s="1">
        <v>4.0912575166200842</v>
      </c>
      <c r="O36" s="1">
        <v>1.2374368670764586</v>
      </c>
      <c r="P36" s="1">
        <f t="shared" si="7"/>
        <v>0.65114385723195856</v>
      </c>
    </row>
    <row r="37" spans="1:16">
      <c r="A37" s="1">
        <f t="shared" si="8"/>
        <v>3.6000000000000019</v>
      </c>
      <c r="B37" s="1">
        <v>0.4073</v>
      </c>
      <c r="C37" s="1">
        <v>25.22</v>
      </c>
      <c r="D37" s="1"/>
      <c r="E37" s="9"/>
      <c r="F37" s="1">
        <f t="shared" si="1"/>
        <v>3.6000000000000019</v>
      </c>
      <c r="G37" s="1">
        <f t="shared" si="0"/>
        <v>1.2727922061357861</v>
      </c>
      <c r="H37" s="1">
        <f t="shared" si="2"/>
        <v>0.4073</v>
      </c>
      <c r="I37" s="1">
        <f t="shared" si="3"/>
        <v>0.41182196669310078</v>
      </c>
      <c r="J37" s="1">
        <f t="shared" si="4"/>
        <v>2.3403831748012971</v>
      </c>
      <c r="K37" s="1">
        <f t="shared" si="5"/>
        <v>3.9428021323782891</v>
      </c>
      <c r="L37" s="1">
        <v>3.9428021323782891</v>
      </c>
      <c r="O37" s="1">
        <v>1.2727922061357861</v>
      </c>
      <c r="P37" s="1">
        <f t="shared" si="7"/>
        <v>0.62751644900127024</v>
      </c>
    </row>
    <row r="38" spans="1:16">
      <c r="A38" s="1">
        <f t="shared" si="8"/>
        <v>3.700000000000002</v>
      </c>
      <c r="B38" s="1">
        <v>0.43</v>
      </c>
      <c r="C38" s="1">
        <v>25.22</v>
      </c>
      <c r="D38" s="1"/>
      <c r="E38" s="9"/>
      <c r="F38" s="1">
        <f t="shared" si="1"/>
        <v>3.700000000000002</v>
      </c>
      <c r="G38" s="1">
        <f t="shared" si="0"/>
        <v>1.3081475451951134</v>
      </c>
      <c r="H38" s="1">
        <f t="shared" si="2"/>
        <v>0.43</v>
      </c>
      <c r="I38" s="1">
        <f t="shared" si="3"/>
        <v>0.43477398889770025</v>
      </c>
      <c r="J38" s="1">
        <f t="shared" si="4"/>
        <v>2.4821805305857279</v>
      </c>
      <c r="K38" s="1">
        <f t="shared" si="5"/>
        <v>3.8010047765938584</v>
      </c>
      <c r="L38" s="1">
        <v>3.8010047765938584</v>
      </c>
      <c r="O38" s="1">
        <v>1.3081475451951134</v>
      </c>
      <c r="P38" s="1">
        <f t="shared" si="7"/>
        <v>0.60494869891081793</v>
      </c>
    </row>
    <row r="39" spans="1:16">
      <c r="A39" s="1">
        <f t="shared" si="8"/>
        <v>3.800000000000002</v>
      </c>
      <c r="B39" s="1">
        <v>0.44890000000000002</v>
      </c>
      <c r="C39" s="1">
        <v>25.24</v>
      </c>
      <c r="D39" s="1"/>
      <c r="E39" s="9"/>
      <c r="F39" s="1">
        <f t="shared" si="1"/>
        <v>3.800000000000002</v>
      </c>
      <c r="G39" s="1">
        <f t="shared" si="0"/>
        <v>1.343502884254441</v>
      </c>
      <c r="H39" s="1">
        <f t="shared" si="2"/>
        <v>0.44890000000000002</v>
      </c>
      <c r="I39" s="1">
        <f t="shared" si="3"/>
        <v>0.45352416798732176</v>
      </c>
      <c r="J39" s="1">
        <f t="shared" si="4"/>
        <v>2.6210788240274399</v>
      </c>
      <c r="K39" s="1">
        <f t="shared" si="5"/>
        <v>3.6621064831521464</v>
      </c>
      <c r="L39" s="1">
        <v>3.6621064831521464</v>
      </c>
      <c r="O39" s="1">
        <v>1.343502884254441</v>
      </c>
      <c r="P39" s="1">
        <f t="shared" si="7"/>
        <v>0.58284234892254083</v>
      </c>
    </row>
    <row r="40" spans="1:16">
      <c r="A40" s="1">
        <f t="shared" si="8"/>
        <v>3.9000000000000021</v>
      </c>
      <c r="B40" s="1">
        <v>0.46239999999999998</v>
      </c>
      <c r="C40" s="1">
        <v>25.22</v>
      </c>
      <c r="D40" s="1"/>
      <c r="E40" s="9"/>
      <c r="F40" s="1">
        <f t="shared" si="1"/>
        <v>3.9000000000000021</v>
      </c>
      <c r="G40" s="1">
        <f t="shared" si="0"/>
        <v>1.3788582233137683</v>
      </c>
      <c r="H40" s="1">
        <f t="shared" si="2"/>
        <v>0.46239999999999998</v>
      </c>
      <c r="I40" s="1">
        <f t="shared" si="3"/>
        <v>0.46753370340999206</v>
      </c>
      <c r="J40" s="1">
        <f t="shared" si="4"/>
        <v>2.7524996628027916</v>
      </c>
      <c r="K40" s="1">
        <f t="shared" si="5"/>
        <v>3.5306856443767947</v>
      </c>
      <c r="L40" s="1">
        <v>3.5306856443767947</v>
      </c>
      <c r="O40" s="1">
        <v>1.3788582233137683</v>
      </c>
      <c r="P40" s="1">
        <f t="shared" si="7"/>
        <v>0.56192607280616058</v>
      </c>
    </row>
    <row r="41" spans="1:16">
      <c r="A41" s="1">
        <f t="shared" si="8"/>
        <v>4.0000000000000018</v>
      </c>
      <c r="B41" s="1">
        <v>0.47189999999999999</v>
      </c>
      <c r="C41" s="1">
        <v>25.2</v>
      </c>
      <c r="D41" s="1"/>
      <c r="E41" s="9"/>
      <c r="F41" s="1">
        <f t="shared" si="1"/>
        <v>4.0000000000000018</v>
      </c>
      <c r="G41" s="1">
        <f t="shared" si="0"/>
        <v>1.4142135623730956</v>
      </c>
      <c r="H41" s="1">
        <f t="shared" si="2"/>
        <v>0.47189999999999999</v>
      </c>
      <c r="I41" s="1">
        <f t="shared" si="3"/>
        <v>0.47751785714285716</v>
      </c>
      <c r="J41" s="1">
        <f t="shared" si="4"/>
        <v>2.8815040075781364</v>
      </c>
      <c r="K41" s="1">
        <f t="shared" si="5"/>
        <v>3.4016812996014498</v>
      </c>
      <c r="L41" s="1">
        <v>3.4016812996014498</v>
      </c>
      <c r="O41" s="1">
        <v>1.4142135623730956</v>
      </c>
      <c r="P41" s="1">
        <f t="shared" si="7"/>
        <v>0.54139439365483333</v>
      </c>
    </row>
    <row r="42" spans="1:16">
      <c r="A42" s="1">
        <f t="shared" si="8"/>
        <v>4.1000000000000014</v>
      </c>
      <c r="B42" s="1">
        <v>0.47799999999999998</v>
      </c>
      <c r="C42" s="1">
        <v>25.21</v>
      </c>
      <c r="D42" s="1"/>
      <c r="E42" s="9"/>
      <c r="F42" s="1">
        <f t="shared" si="1"/>
        <v>4.1000000000000014</v>
      </c>
      <c r="G42" s="1">
        <f t="shared" si="0"/>
        <v>1.4495689014324229</v>
      </c>
      <c r="H42" s="1">
        <f t="shared" si="2"/>
        <v>0.47799999999999998</v>
      </c>
      <c r="I42" s="1">
        <f t="shared" si="3"/>
        <v>0.48349861166203884</v>
      </c>
      <c r="J42" s="1">
        <f t="shared" si="4"/>
        <v>3.007292560155749</v>
      </c>
      <c r="K42" s="1">
        <f t="shared" si="5"/>
        <v>3.2758927470238373</v>
      </c>
      <c r="L42" s="1">
        <v>3.2758927470238373</v>
      </c>
      <c r="O42" s="1">
        <v>1.4495689014324229</v>
      </c>
      <c r="P42" s="1">
        <f t="shared" si="7"/>
        <v>0.52137452372773152</v>
      </c>
    </row>
    <row r="43" spans="1:16">
      <c r="A43" s="1">
        <f t="shared" si="8"/>
        <v>4.2000000000000011</v>
      </c>
      <c r="B43" s="1">
        <v>0.47939999999999999</v>
      </c>
      <c r="C43" s="1">
        <v>25.17</v>
      </c>
      <c r="D43" s="1"/>
      <c r="E43" s="9"/>
      <c r="F43" s="1">
        <f t="shared" si="1"/>
        <v>4.2000000000000011</v>
      </c>
      <c r="G43" s="1">
        <f t="shared" si="0"/>
        <v>1.48492424049175</v>
      </c>
      <c r="H43" s="1">
        <f t="shared" si="2"/>
        <v>0.47939999999999999</v>
      </c>
      <c r="I43" s="1">
        <f t="shared" si="3"/>
        <v>0.48568533969010724</v>
      </c>
      <c r="J43" s="1">
        <f t="shared" si="4"/>
        <v>3.1415926535897931</v>
      </c>
      <c r="K43" s="1">
        <f t="shared" si="5"/>
        <v>3.1415926535897931</v>
      </c>
      <c r="L43" s="1">
        <v>3.1415926535897931</v>
      </c>
      <c r="O43" s="1">
        <v>1.48492424049175</v>
      </c>
      <c r="P43" s="1">
        <f t="shared" si="7"/>
        <v>0.5</v>
      </c>
    </row>
    <row r="44" spans="1:16">
      <c r="A44" s="1">
        <f t="shared" si="8"/>
        <v>4.3000000000000007</v>
      </c>
      <c r="B44" s="1">
        <v>0.4783</v>
      </c>
      <c r="C44" s="1">
        <v>25.15</v>
      </c>
      <c r="D44" s="1"/>
      <c r="E44" s="9"/>
      <c r="F44" s="1">
        <f t="shared" si="1"/>
        <v>4.3000000000000007</v>
      </c>
      <c r="G44" s="1">
        <f t="shared" si="0"/>
        <v>1.5202795795510773</v>
      </c>
      <c r="H44" s="1">
        <f t="shared" si="2"/>
        <v>0.4783</v>
      </c>
      <c r="I44" s="1">
        <f t="shared" si="3"/>
        <v>0.48495626242544737</v>
      </c>
      <c r="J44" s="1">
        <f t="shared" ref="J44:J75" si="9">ACOS(1-2*(I44/MAX(I$3:I$111)))</f>
        <v>3.0640843928682058</v>
      </c>
      <c r="K44" s="1">
        <v>3.0640843928682058</v>
      </c>
      <c r="L44" s="1">
        <v>3.0640843928682058</v>
      </c>
      <c r="O44" s="1">
        <v>1.5202795795510773</v>
      </c>
      <c r="P44" s="1">
        <f t="shared" si="7"/>
        <v>0.48766417717570398</v>
      </c>
    </row>
    <row r="45" spans="1:16">
      <c r="A45" s="1">
        <f t="shared" si="8"/>
        <v>4.4000000000000004</v>
      </c>
      <c r="B45" s="1">
        <v>0.47520000000000001</v>
      </c>
      <c r="C45" s="1">
        <v>25.17</v>
      </c>
      <c r="D45" s="1"/>
      <c r="E45" s="9"/>
      <c r="F45" s="1">
        <f t="shared" si="1"/>
        <v>4.4000000000000004</v>
      </c>
      <c r="G45" s="1">
        <f t="shared" si="0"/>
        <v>1.5556349186104046</v>
      </c>
      <c r="H45" s="1">
        <f t="shared" si="2"/>
        <v>0.47520000000000001</v>
      </c>
      <c r="I45" s="1">
        <f t="shared" si="3"/>
        <v>0.48143027413587597</v>
      </c>
      <c r="J45" s="1">
        <f t="shared" si="9"/>
        <v>2.954118322902183</v>
      </c>
      <c r="K45" s="1">
        <v>2.954118322902183</v>
      </c>
      <c r="L45" s="1">
        <v>2.954118322902183</v>
      </c>
      <c r="O45" s="1">
        <v>1.5556349186104046</v>
      </c>
      <c r="P45" s="1">
        <f t="shared" si="7"/>
        <v>0.47016253356822224</v>
      </c>
    </row>
    <row r="46" spans="1:16">
      <c r="A46" s="1">
        <f t="shared" si="8"/>
        <v>4.5</v>
      </c>
      <c r="B46" s="1">
        <v>0.46920000000000001</v>
      </c>
      <c r="C46" s="1">
        <v>25.18</v>
      </c>
      <c r="D46" s="1"/>
      <c r="E46" s="9"/>
      <c r="F46" s="1">
        <f t="shared" si="1"/>
        <v>4.5</v>
      </c>
      <c r="G46" s="1">
        <f t="shared" si="0"/>
        <v>1.5909902576697319</v>
      </c>
      <c r="H46" s="1">
        <f t="shared" si="2"/>
        <v>0.46920000000000001</v>
      </c>
      <c r="I46" s="1">
        <f t="shared" si="3"/>
        <v>0.47516282764098494</v>
      </c>
      <c r="J46" s="1">
        <f t="shared" si="9"/>
        <v>2.8461365212212524</v>
      </c>
      <c r="K46" s="1">
        <v>2.8461365212212524</v>
      </c>
      <c r="L46" s="1">
        <v>2.8461365212212524</v>
      </c>
      <c r="O46" s="1">
        <v>1.5909902576697319</v>
      </c>
      <c r="P46" s="1">
        <f t="shared" si="7"/>
        <v>0.45297669606673341</v>
      </c>
    </row>
    <row r="47" spans="1:16">
      <c r="A47" s="1">
        <f t="shared" si="8"/>
        <v>4.5999999999999996</v>
      </c>
      <c r="B47" s="1">
        <v>0.46100000000000002</v>
      </c>
      <c r="C47" s="1">
        <v>25.14</v>
      </c>
      <c r="D47" s="1"/>
      <c r="E47" s="9"/>
      <c r="F47" s="1">
        <f t="shared" si="1"/>
        <v>4.5999999999999996</v>
      </c>
      <c r="G47" s="1">
        <f t="shared" si="0"/>
        <v>1.626345596729059</v>
      </c>
      <c r="H47" s="1">
        <f t="shared" si="2"/>
        <v>0.46100000000000002</v>
      </c>
      <c r="I47" s="1">
        <f t="shared" si="3"/>
        <v>0.46760143198090698</v>
      </c>
      <c r="J47" s="1">
        <f t="shared" si="9"/>
        <v>2.7532355267276398</v>
      </c>
      <c r="K47" s="1">
        <v>2.7532355267276398</v>
      </c>
      <c r="L47" s="1">
        <v>2.7532355267276398</v>
      </c>
      <c r="O47" s="1">
        <v>1.626345596729059</v>
      </c>
      <c r="P47" s="1">
        <f t="shared" si="7"/>
        <v>0.438191043574922</v>
      </c>
    </row>
    <row r="48" spans="1:16">
      <c r="A48" s="1">
        <f t="shared" si="8"/>
        <v>4.6999999999999993</v>
      </c>
      <c r="B48" s="1">
        <v>0.4516</v>
      </c>
      <c r="C48" s="1">
        <v>25.14</v>
      </c>
      <c r="D48" s="1"/>
      <c r="E48" s="9"/>
      <c r="F48" s="1">
        <f t="shared" si="1"/>
        <v>4.6999999999999993</v>
      </c>
      <c r="G48" s="1">
        <f t="shared" si="0"/>
        <v>1.6617009357883863</v>
      </c>
      <c r="H48" s="1">
        <f t="shared" si="2"/>
        <v>0.4516</v>
      </c>
      <c r="I48" s="1">
        <f t="shared" si="3"/>
        <v>0.45806682577565633</v>
      </c>
      <c r="J48" s="1">
        <f t="shared" si="9"/>
        <v>2.6600250136306913</v>
      </c>
      <c r="K48" s="1">
        <v>2.6600250136306913</v>
      </c>
      <c r="L48" s="1">
        <v>2.6600250136306913</v>
      </c>
      <c r="O48" s="1">
        <v>1.6617009357883863</v>
      </c>
      <c r="P48" s="1">
        <f t="shared" si="7"/>
        <v>0.42335612966741082</v>
      </c>
    </row>
    <row r="49" spans="1:16">
      <c r="A49" s="1">
        <f t="shared" si="8"/>
        <v>4.7999999999999989</v>
      </c>
      <c r="B49" s="1">
        <v>0.441</v>
      </c>
      <c r="C49" s="1">
        <v>25.14</v>
      </c>
      <c r="D49" s="1"/>
      <c r="E49" s="9"/>
      <c r="F49" s="1">
        <f t="shared" si="1"/>
        <v>4.7999999999999989</v>
      </c>
      <c r="G49" s="1">
        <f t="shared" si="0"/>
        <v>1.6970562748477136</v>
      </c>
      <c r="H49" s="1">
        <f t="shared" si="2"/>
        <v>0.441</v>
      </c>
      <c r="I49" s="1">
        <f t="shared" si="3"/>
        <v>0.44731503579952264</v>
      </c>
      <c r="J49" s="1">
        <f t="shared" si="9"/>
        <v>2.5717673141984179</v>
      </c>
      <c r="K49" s="1">
        <v>2.5717673141984179</v>
      </c>
      <c r="L49" s="1">
        <v>2.5717673141984179</v>
      </c>
      <c r="O49" s="1">
        <v>1.6970562748477136</v>
      </c>
      <c r="P49" s="1">
        <f t="shared" si="7"/>
        <v>0.40930948053684574</v>
      </c>
    </row>
    <row r="50" spans="1:16">
      <c r="A50" s="1">
        <f t="shared" si="8"/>
        <v>4.8999999999999986</v>
      </c>
      <c r="B50" s="1">
        <v>0.43020000000000003</v>
      </c>
      <c r="C50" s="1">
        <v>25.15</v>
      </c>
      <c r="D50" s="1"/>
      <c r="E50" s="9"/>
      <c r="F50" s="1">
        <f t="shared" si="1"/>
        <v>4.8999999999999986</v>
      </c>
      <c r="G50" s="1">
        <f t="shared" si="0"/>
        <v>1.7324116139070409</v>
      </c>
      <c r="H50" s="1">
        <f t="shared" si="2"/>
        <v>0.43020000000000003</v>
      </c>
      <c r="I50" s="1">
        <f t="shared" si="3"/>
        <v>0.43618687872763423</v>
      </c>
      <c r="J50" s="1">
        <f t="shared" si="9"/>
        <v>2.4917361966268157</v>
      </c>
      <c r="K50" s="1">
        <v>2.4917361966268157</v>
      </c>
      <c r="L50" s="1">
        <v>2.4917361966268157</v>
      </c>
      <c r="O50" s="1">
        <v>1.7324116139070409</v>
      </c>
      <c r="P50" s="1">
        <f t="shared" si="7"/>
        <v>0.39657213257415658</v>
      </c>
    </row>
    <row r="51" spans="1:16">
      <c r="A51" s="1">
        <f t="shared" si="8"/>
        <v>4.9999999999999982</v>
      </c>
      <c r="B51" s="1">
        <v>0.41810000000000003</v>
      </c>
      <c r="C51" s="1">
        <v>25.13</v>
      </c>
      <c r="D51" s="1"/>
      <c r="E51" s="9"/>
      <c r="F51" s="1">
        <f t="shared" si="1"/>
        <v>4.9999999999999982</v>
      </c>
      <c r="G51" s="1">
        <f t="shared" si="0"/>
        <v>1.767766952966368</v>
      </c>
      <c r="H51" s="1">
        <f t="shared" si="2"/>
        <v>0.41810000000000003</v>
      </c>
      <c r="I51" s="1">
        <f t="shared" si="3"/>
        <v>0.42425586947871075</v>
      </c>
      <c r="J51" s="1">
        <f t="shared" si="9"/>
        <v>2.4143946599250454</v>
      </c>
      <c r="K51" s="1">
        <v>2.4143946599250454</v>
      </c>
      <c r="L51" s="1">
        <v>2.4143946599250454</v>
      </c>
      <c r="O51" s="1">
        <v>1.767766952966368</v>
      </c>
      <c r="P51" s="1">
        <f t="shared" si="7"/>
        <v>0.3842628447017466</v>
      </c>
    </row>
    <row r="52" spans="1:16">
      <c r="A52" s="1">
        <f t="shared" si="8"/>
        <v>5.0999999999999979</v>
      </c>
      <c r="B52" s="1">
        <v>0.40570000000000001</v>
      </c>
      <c r="C52" s="1">
        <v>25.12</v>
      </c>
      <c r="D52" s="1"/>
      <c r="E52" s="9"/>
      <c r="F52" s="1">
        <f t="shared" si="1"/>
        <v>5.0999999999999979</v>
      </c>
      <c r="G52" s="1">
        <f t="shared" si="0"/>
        <v>1.8031222920256953</v>
      </c>
      <c r="H52" s="1">
        <f t="shared" si="2"/>
        <v>0.40570000000000001</v>
      </c>
      <c r="I52" s="1">
        <f t="shared" si="3"/>
        <v>0.41183718152866239</v>
      </c>
      <c r="J52" s="1">
        <f t="shared" si="9"/>
        <v>2.340470414929666</v>
      </c>
      <c r="K52" s="1">
        <v>2.340470414929666</v>
      </c>
      <c r="L52" s="1">
        <v>2.340470414929666</v>
      </c>
      <c r="O52" s="1">
        <v>1.8031222920256953</v>
      </c>
      <c r="P52" s="1">
        <f t="shared" si="7"/>
        <v>0.37249743569639565</v>
      </c>
    </row>
    <row r="53" spans="1:16">
      <c r="A53" s="1">
        <f t="shared" si="8"/>
        <v>5.1999999999999975</v>
      </c>
      <c r="B53" s="1">
        <v>0.39329999999999998</v>
      </c>
      <c r="C53" s="1">
        <v>25.13</v>
      </c>
      <c r="D53" s="1"/>
      <c r="E53" s="9"/>
      <c r="F53" s="1">
        <f t="shared" si="1"/>
        <v>5.1999999999999975</v>
      </c>
      <c r="G53" s="1">
        <f t="shared" si="0"/>
        <v>1.8384776310850226</v>
      </c>
      <c r="H53" s="1">
        <f t="shared" si="2"/>
        <v>0.39329999999999998</v>
      </c>
      <c r="I53" s="1">
        <f t="shared" si="3"/>
        <v>0.39909072821329089</v>
      </c>
      <c r="J53" s="1">
        <f t="shared" si="9"/>
        <v>2.2697443073096428</v>
      </c>
      <c r="K53" s="1">
        <v>2.2697443073096428</v>
      </c>
      <c r="L53" s="1">
        <v>2.2697443073096428</v>
      </c>
      <c r="O53" s="1">
        <v>1.8384776310850226</v>
      </c>
      <c r="P53" s="1">
        <f t="shared" si="7"/>
        <v>0.36124102606301961</v>
      </c>
    </row>
    <row r="54" spans="1:16">
      <c r="A54" s="1">
        <f t="shared" si="8"/>
        <v>5.2999999999999972</v>
      </c>
      <c r="B54" s="1">
        <v>0.38100000000000001</v>
      </c>
      <c r="C54" s="1">
        <v>25.13</v>
      </c>
      <c r="D54" s="1"/>
      <c r="E54" s="9"/>
      <c r="F54" s="1">
        <f t="shared" si="1"/>
        <v>5.2999999999999972</v>
      </c>
      <c r="G54" s="1">
        <f t="shared" si="0"/>
        <v>1.8738329701443499</v>
      </c>
      <c r="H54" s="1">
        <f t="shared" si="2"/>
        <v>0.38100000000000001</v>
      </c>
      <c r="I54" s="1">
        <f t="shared" si="3"/>
        <v>0.38660962992439318</v>
      </c>
      <c r="J54" s="1">
        <f t="shared" si="9"/>
        <v>2.2043554395177294</v>
      </c>
      <c r="K54" s="1">
        <v>2.2043554395177294</v>
      </c>
      <c r="L54" s="1">
        <v>2.2043554395177294</v>
      </c>
      <c r="O54" s="1">
        <v>1.8738329701443499</v>
      </c>
      <c r="P54" s="1">
        <f t="shared" si="7"/>
        <v>0.35083406453075416</v>
      </c>
    </row>
    <row r="55" spans="1:16">
      <c r="A55" s="1">
        <f t="shared" si="8"/>
        <v>5.3999999999999968</v>
      </c>
      <c r="B55" s="1">
        <v>0.36840000000000001</v>
      </c>
      <c r="C55" s="1">
        <v>25.12</v>
      </c>
      <c r="D55" s="1"/>
      <c r="E55" s="9"/>
      <c r="F55" s="1">
        <f t="shared" si="1"/>
        <v>5.3999999999999968</v>
      </c>
      <c r="G55" s="1">
        <f t="shared" si="0"/>
        <v>1.909188309203677</v>
      </c>
      <c r="H55" s="1">
        <f t="shared" si="2"/>
        <v>0.36840000000000001</v>
      </c>
      <c r="I55" s="1">
        <f t="shared" si="3"/>
        <v>0.37397292993630571</v>
      </c>
      <c r="J55" s="1">
        <f t="shared" si="9"/>
        <v>2.1412100420062568</v>
      </c>
      <c r="K55" s="1">
        <v>2.1412100420062568</v>
      </c>
      <c r="L55" s="1">
        <v>2.1412100420062568</v>
      </c>
      <c r="O55" s="1">
        <v>1.909188309203677</v>
      </c>
      <c r="P55" s="1">
        <f t="shared" si="7"/>
        <v>0.34078416238330062</v>
      </c>
    </row>
    <row r="56" spans="1:16">
      <c r="A56" s="1">
        <f t="shared" si="8"/>
        <v>5.4999999999999964</v>
      </c>
      <c r="B56" s="1">
        <v>0.35610000000000003</v>
      </c>
      <c r="C56" s="1">
        <v>25.1</v>
      </c>
      <c r="D56" s="1"/>
      <c r="E56" s="9"/>
      <c r="F56" s="1">
        <f t="shared" si="1"/>
        <v>5.4999999999999964</v>
      </c>
      <c r="G56" s="1">
        <f t="shared" si="0"/>
        <v>1.9445436482630043</v>
      </c>
      <c r="H56" s="1">
        <f t="shared" si="2"/>
        <v>0.35610000000000003</v>
      </c>
      <c r="I56" s="1">
        <f t="shared" si="3"/>
        <v>0.36177490039840637</v>
      </c>
      <c r="J56" s="1">
        <f t="shared" si="9"/>
        <v>2.0825994701484722</v>
      </c>
      <c r="K56" s="1">
        <v>2.0825994701484722</v>
      </c>
      <c r="L56" s="1">
        <v>2.0825994701484722</v>
      </c>
      <c r="O56" s="1">
        <v>1.9445436482630043</v>
      </c>
      <c r="P56" s="1">
        <f t="shared" si="7"/>
        <v>0.33145600015469151</v>
      </c>
    </row>
    <row r="57" spans="1:16">
      <c r="A57" s="1">
        <f t="shared" si="8"/>
        <v>5.5999999999999961</v>
      </c>
      <c r="B57" s="1">
        <v>0.34439999999999998</v>
      </c>
      <c r="C57" s="1">
        <v>25.11</v>
      </c>
      <c r="D57" s="1"/>
      <c r="E57" s="9"/>
      <c r="F57" s="1">
        <f t="shared" si="1"/>
        <v>5.5999999999999961</v>
      </c>
      <c r="G57" s="1">
        <f t="shared" si="0"/>
        <v>1.9798989873223316</v>
      </c>
      <c r="H57" s="1">
        <f t="shared" si="2"/>
        <v>0.34439999999999998</v>
      </c>
      <c r="I57" s="1">
        <f t="shared" si="3"/>
        <v>0.3497491039426523</v>
      </c>
      <c r="J57" s="1">
        <f t="shared" si="9"/>
        <v>2.0266502498425618</v>
      </c>
      <c r="K57" s="1">
        <v>2.0266502498425618</v>
      </c>
      <c r="L57" s="1">
        <v>2.0266502498425618</v>
      </c>
      <c r="O57" s="1">
        <v>1.9798989873223316</v>
      </c>
      <c r="P57" s="1">
        <f t="shared" si="7"/>
        <v>0.32255140518086839</v>
      </c>
    </row>
    <row r="58" spans="1:16">
      <c r="A58" s="1">
        <f t="shared" si="8"/>
        <v>5.6999999999999957</v>
      </c>
      <c r="B58" s="1">
        <v>0.33289999999999997</v>
      </c>
      <c r="C58" s="1">
        <v>25.11</v>
      </c>
      <c r="D58" s="1"/>
      <c r="E58" s="9"/>
      <c r="F58" s="1">
        <f t="shared" si="1"/>
        <v>5.6999999999999957</v>
      </c>
      <c r="G58" s="1">
        <f t="shared" si="0"/>
        <v>2.0152543263816587</v>
      </c>
      <c r="H58" s="1">
        <f t="shared" si="2"/>
        <v>0.33289999999999997</v>
      </c>
      <c r="I58" s="1">
        <f t="shared" si="3"/>
        <v>0.33807048984468335</v>
      </c>
      <c r="J58" s="1">
        <f t="shared" si="9"/>
        <v>1.9737508364433924</v>
      </c>
      <c r="K58" s="1">
        <v>1.9737508364433924</v>
      </c>
      <c r="L58" s="1">
        <v>1.9737508364433924</v>
      </c>
      <c r="O58" s="1">
        <v>2.0152543263816587</v>
      </c>
      <c r="P58" s="1">
        <f t="shared" si="7"/>
        <v>0.31413220205172898</v>
      </c>
    </row>
    <row r="59" spans="1:16">
      <c r="A59" s="1">
        <f t="shared" si="8"/>
        <v>5.7999999999999954</v>
      </c>
      <c r="B59" s="1">
        <v>0.32179999999999997</v>
      </c>
      <c r="C59" s="1">
        <v>25.11</v>
      </c>
      <c r="D59" s="1"/>
      <c r="E59" s="9"/>
      <c r="F59" s="1">
        <f t="shared" si="1"/>
        <v>5.7999999999999954</v>
      </c>
      <c r="G59" s="1">
        <f t="shared" si="0"/>
        <v>2.050609665440986</v>
      </c>
      <c r="H59" s="1">
        <f t="shared" si="2"/>
        <v>0.32179999999999997</v>
      </c>
      <c r="I59" s="1">
        <f t="shared" si="3"/>
        <v>0.32679808841099162</v>
      </c>
      <c r="J59" s="1">
        <f t="shared" si="9"/>
        <v>1.92380166288929</v>
      </c>
      <c r="K59" s="1">
        <v>1.92380166288929</v>
      </c>
      <c r="L59" s="1">
        <v>1.92380166288929</v>
      </c>
      <c r="O59" s="1">
        <v>2.050609665440986</v>
      </c>
      <c r="P59" s="1">
        <f t="shared" si="7"/>
        <v>0.30618254417723856</v>
      </c>
    </row>
    <row r="60" spans="1:16">
      <c r="A60" s="1">
        <f t="shared" si="8"/>
        <v>5.899999999999995</v>
      </c>
      <c r="B60" s="1">
        <v>0.311</v>
      </c>
      <c r="C60" s="1">
        <v>25.11</v>
      </c>
      <c r="D60" s="1"/>
      <c r="E60" s="9"/>
      <c r="F60" s="1">
        <f t="shared" si="1"/>
        <v>5.899999999999995</v>
      </c>
      <c r="G60" s="1">
        <f t="shared" si="0"/>
        <v>2.0859650045003133</v>
      </c>
      <c r="H60" s="1">
        <f t="shared" si="2"/>
        <v>0.311</v>
      </c>
      <c r="I60" s="1">
        <f t="shared" si="3"/>
        <v>0.31583034647550778</v>
      </c>
      <c r="J60" s="1">
        <f t="shared" si="9"/>
        <v>1.8760712552578471</v>
      </c>
      <c r="K60" s="1">
        <v>1.8760712552578471</v>
      </c>
      <c r="L60" s="1">
        <v>1.8760712552578471</v>
      </c>
      <c r="O60" s="1">
        <v>2.0859650045003133</v>
      </c>
      <c r="P60" s="1">
        <f t="shared" si="7"/>
        <v>0.29858601386690331</v>
      </c>
    </row>
    <row r="61" spans="1:16">
      <c r="A61" s="1">
        <f t="shared" si="8"/>
        <v>5.9999999999999947</v>
      </c>
      <c r="B61" s="1">
        <v>0.30099999999999999</v>
      </c>
      <c r="C61" s="1">
        <v>25.11</v>
      </c>
      <c r="D61" s="1"/>
      <c r="E61" s="9"/>
      <c r="F61" s="1">
        <f t="shared" si="1"/>
        <v>5.9999999999999947</v>
      </c>
      <c r="G61" s="1">
        <f t="shared" si="0"/>
        <v>2.1213203435596406</v>
      </c>
      <c r="H61" s="1">
        <f t="shared" si="2"/>
        <v>0.30099999999999999</v>
      </c>
      <c r="I61" s="1">
        <f t="shared" si="3"/>
        <v>0.30567502986857825</v>
      </c>
      <c r="J61" s="1">
        <f t="shared" si="9"/>
        <v>1.8325106745710253</v>
      </c>
      <c r="K61" s="1">
        <v>1.8325106745710253</v>
      </c>
      <c r="L61" s="1">
        <v>1.8325106745710253</v>
      </c>
      <c r="O61" s="1">
        <v>2.1213203435596406</v>
      </c>
      <c r="P61" s="1">
        <f t="shared" si="7"/>
        <v>0.29165313212664229</v>
      </c>
    </row>
    <row r="62" spans="1:16">
      <c r="A62" s="1">
        <f t="shared" si="8"/>
        <v>6.0999999999999943</v>
      </c>
      <c r="B62" s="1">
        <v>0.2908</v>
      </c>
      <c r="C62" s="1">
        <v>25.1</v>
      </c>
      <c r="D62" s="1"/>
      <c r="E62" s="9"/>
      <c r="F62" s="1">
        <f t="shared" si="1"/>
        <v>6.0999999999999943</v>
      </c>
      <c r="G62" s="1">
        <f t="shared" si="0"/>
        <v>2.1566756826189679</v>
      </c>
      <c r="H62" s="1">
        <f t="shared" si="2"/>
        <v>0.2908</v>
      </c>
      <c r="I62" s="1">
        <f t="shared" si="3"/>
        <v>0.29543426294820713</v>
      </c>
      <c r="J62" s="1">
        <f t="shared" si="9"/>
        <v>1.789092477455035</v>
      </c>
      <c r="K62" s="1">
        <v>1.789092477455035</v>
      </c>
      <c r="L62" s="1">
        <v>1.789092477455035</v>
      </c>
      <c r="O62" s="1">
        <v>2.1566756826189679</v>
      </c>
      <c r="P62" s="1">
        <f t="shared" si="7"/>
        <v>0.28474291143549413</v>
      </c>
    </row>
    <row r="63" spans="1:16">
      <c r="A63" s="1">
        <f t="shared" si="8"/>
        <v>6.199999999999994</v>
      </c>
      <c r="B63" s="1">
        <v>0.28129999999999999</v>
      </c>
      <c r="C63" s="1">
        <v>25.09</v>
      </c>
      <c r="D63" s="1"/>
      <c r="E63" s="9"/>
      <c r="F63" s="1">
        <f t="shared" si="1"/>
        <v>6.199999999999994</v>
      </c>
      <c r="G63" s="1">
        <f t="shared" si="0"/>
        <v>2.1920310216782952</v>
      </c>
      <c r="H63" s="1">
        <f t="shared" si="2"/>
        <v>0.28129999999999999</v>
      </c>
      <c r="I63" s="1">
        <f t="shared" si="3"/>
        <v>0.28589677162216021</v>
      </c>
      <c r="J63" s="1">
        <f t="shared" si="9"/>
        <v>1.7490306662149324</v>
      </c>
      <c r="K63" s="1">
        <v>1.7490306662149324</v>
      </c>
      <c r="L63" s="1">
        <v>1.7490306662149324</v>
      </c>
      <c r="O63" s="1">
        <v>2.1920310216782952</v>
      </c>
      <c r="P63" s="1">
        <f t="shared" si="7"/>
        <v>0.27836687614741734</v>
      </c>
    </row>
    <row r="64" spans="1:16">
      <c r="A64" s="1">
        <f t="shared" si="8"/>
        <v>6.2999999999999936</v>
      </c>
      <c r="B64" s="1">
        <v>0.27229999999999999</v>
      </c>
      <c r="C64" s="1">
        <v>25.09</v>
      </c>
      <c r="D64" s="1"/>
      <c r="E64" s="9"/>
      <c r="F64" s="1">
        <f t="shared" si="1"/>
        <v>6.2999999999999936</v>
      </c>
      <c r="G64" s="1">
        <f t="shared" si="0"/>
        <v>2.2273863607376221</v>
      </c>
      <c r="H64" s="1">
        <f t="shared" si="2"/>
        <v>0.27229999999999999</v>
      </c>
      <c r="I64" s="1">
        <f t="shared" si="3"/>
        <v>0.27674970107612595</v>
      </c>
      <c r="J64" s="1">
        <f t="shared" si="9"/>
        <v>1.7108795351144588</v>
      </c>
      <c r="K64" s="1">
        <v>1.7108795351144588</v>
      </c>
      <c r="L64" s="1">
        <v>1.7108795351144588</v>
      </c>
      <c r="O64" s="1">
        <v>2.2273863607376221</v>
      </c>
      <c r="P64" s="1">
        <f t="shared" si="7"/>
        <v>0.27229493504823005</v>
      </c>
    </row>
    <row r="65" spans="1:16">
      <c r="A65" s="1">
        <f t="shared" si="8"/>
        <v>6.3999999999999932</v>
      </c>
      <c r="B65" s="1">
        <v>0.2636</v>
      </c>
      <c r="C65" s="1">
        <v>25.09</v>
      </c>
      <c r="D65" s="1"/>
      <c r="E65" s="9"/>
      <c r="F65" s="1">
        <f t="shared" si="1"/>
        <v>6.3999999999999932</v>
      </c>
      <c r="G65" s="1">
        <f t="shared" si="0"/>
        <v>2.2627416997969494</v>
      </c>
      <c r="H65" s="1">
        <f t="shared" si="2"/>
        <v>0.2636</v>
      </c>
      <c r="I65" s="1">
        <f t="shared" si="3"/>
        <v>0.26790753288162616</v>
      </c>
      <c r="J65" s="1">
        <f t="shared" si="9"/>
        <v>1.6741948824262982</v>
      </c>
      <c r="K65" s="1">
        <v>1.6741948824262982</v>
      </c>
      <c r="L65" s="1">
        <v>1.6741948824262982</v>
      </c>
      <c r="O65" s="1">
        <v>2.2627416997969494</v>
      </c>
      <c r="P65" s="1">
        <f t="shared" si="7"/>
        <v>0.26645639123729992</v>
      </c>
    </row>
    <row r="66" spans="1:16">
      <c r="A66" s="1">
        <f t="shared" si="8"/>
        <v>6.4999999999999929</v>
      </c>
      <c r="B66" s="1">
        <v>0.25540000000000002</v>
      </c>
      <c r="C66" s="1">
        <v>25.1</v>
      </c>
      <c r="D66" s="1"/>
      <c r="E66" s="9"/>
      <c r="F66" s="1">
        <f t="shared" si="1"/>
        <v>6.4999999999999929</v>
      </c>
      <c r="G66" s="1">
        <f t="shared" ref="G66:G106" si="10">F66/2/SQRT(2)</f>
        <v>2.2980970388562767</v>
      </c>
      <c r="H66" s="1">
        <f t="shared" si="2"/>
        <v>0.25540000000000002</v>
      </c>
      <c r="I66" s="1">
        <f t="shared" si="3"/>
        <v>0.25947011952191235</v>
      </c>
      <c r="J66" s="1">
        <f t="shared" si="9"/>
        <v>1.6393199893085211</v>
      </c>
      <c r="K66" s="1">
        <v>1.6393199893085211</v>
      </c>
      <c r="L66" s="1">
        <v>1.6393199893085211</v>
      </c>
      <c r="O66" s="1">
        <v>2.2980970388562767</v>
      </c>
      <c r="P66" s="1">
        <f t="shared" si="7"/>
        <v>0.26090587960780415</v>
      </c>
    </row>
    <row r="67" spans="1:16">
      <c r="A67" s="1">
        <f>A66+0.1</f>
        <v>6.5999999999999925</v>
      </c>
      <c r="B67" s="1">
        <v>0.2475</v>
      </c>
      <c r="C67" s="1">
        <v>25.1</v>
      </c>
      <c r="D67" s="1"/>
      <c r="E67" s="9"/>
      <c r="F67" s="1">
        <f t="shared" ref="F67:F106" si="11">A67</f>
        <v>6.5999999999999925</v>
      </c>
      <c r="G67" s="1">
        <f t="shared" si="10"/>
        <v>2.333452377915604</v>
      </c>
      <c r="H67" s="1">
        <f t="shared" ref="H67:H106" si="12">B67</f>
        <v>0.2475</v>
      </c>
      <c r="I67" s="1">
        <f t="shared" ref="I67:I106" si="13">H67*MAX(C$2:C$113)/C67</f>
        <v>0.2514442231075697</v>
      </c>
      <c r="J67" s="1">
        <f t="shared" si="9"/>
        <v>1.6062240086874426</v>
      </c>
      <c r="K67" s="1">
        <v>1.6062240086874426</v>
      </c>
      <c r="L67" s="1">
        <v>1.6062240086874426</v>
      </c>
      <c r="O67" s="1">
        <v>2.333452377915604</v>
      </c>
      <c r="P67" s="1">
        <f t="shared" ref="P67:P106" si="14">L67/2/PI()</f>
        <v>0.25563849069548594</v>
      </c>
    </row>
    <row r="68" spans="1:16">
      <c r="A68" s="1">
        <f t="shared" ref="A68:A71" si="15">A67+0.1</f>
        <v>6.6999999999999922</v>
      </c>
      <c r="B68" s="1">
        <v>0.2399</v>
      </c>
      <c r="C68" s="1">
        <v>25.09</v>
      </c>
      <c r="D68" s="1"/>
      <c r="E68" s="9"/>
      <c r="F68" s="1">
        <f t="shared" si="11"/>
        <v>6.6999999999999922</v>
      </c>
      <c r="G68" s="1">
        <f t="shared" si="10"/>
        <v>2.3688077169749313</v>
      </c>
      <c r="H68" s="1">
        <f t="shared" si="12"/>
        <v>0.2399</v>
      </c>
      <c r="I68" s="1">
        <f t="shared" si="13"/>
        <v>0.24382024711040254</v>
      </c>
      <c r="J68" s="1">
        <f t="shared" si="9"/>
        <v>1.5748218957210014</v>
      </c>
      <c r="K68" s="1">
        <v>1.5748218957210014</v>
      </c>
      <c r="L68" s="1">
        <v>1.5748218957210014</v>
      </c>
      <c r="O68" s="1">
        <v>2.3688077169749313</v>
      </c>
      <c r="P68" s="1">
        <f t="shared" si="14"/>
        <v>0.2506406891933467</v>
      </c>
    </row>
    <row r="69" spans="1:16">
      <c r="A69" s="1">
        <f t="shared" si="15"/>
        <v>6.7999999999999918</v>
      </c>
      <c r="B69" s="1">
        <v>0.23269999999999999</v>
      </c>
      <c r="C69" s="1">
        <v>25.11</v>
      </c>
      <c r="D69" s="1"/>
      <c r="E69" s="9"/>
      <c r="F69" s="1">
        <f t="shared" si="11"/>
        <v>6.7999999999999918</v>
      </c>
      <c r="G69" s="1">
        <f t="shared" si="10"/>
        <v>2.4041630560342586</v>
      </c>
      <c r="H69" s="1">
        <f t="shared" si="12"/>
        <v>0.23269999999999999</v>
      </c>
      <c r="I69" s="1">
        <f t="shared" si="13"/>
        <v>0.23631421744324968</v>
      </c>
      <c r="J69" s="1">
        <f t="shared" si="9"/>
        <v>1.5439096225907736</v>
      </c>
      <c r="K69" s="1">
        <v>1.5439096225907736</v>
      </c>
      <c r="L69" s="1">
        <v>1.5439096225907736</v>
      </c>
      <c r="O69" s="1">
        <v>2.4041630560342586</v>
      </c>
      <c r="P69" s="1">
        <f t="shared" si="14"/>
        <v>0.2457208481224642</v>
      </c>
    </row>
    <row r="70" spans="1:16">
      <c r="A70" s="1">
        <f t="shared" si="15"/>
        <v>6.8999999999999915</v>
      </c>
      <c r="B70" s="1">
        <v>0.22559999999999999</v>
      </c>
      <c r="C70" s="1">
        <v>25.09</v>
      </c>
      <c r="D70" s="1"/>
      <c r="E70" s="9"/>
      <c r="F70" s="1">
        <f t="shared" si="11"/>
        <v>6.8999999999999915</v>
      </c>
      <c r="G70" s="1">
        <f t="shared" si="10"/>
        <v>2.4395183950935859</v>
      </c>
      <c r="H70" s="1">
        <f t="shared" si="12"/>
        <v>0.22559999999999999</v>
      </c>
      <c r="I70" s="1">
        <f t="shared" si="13"/>
        <v>0.22928656835392586</v>
      </c>
      <c r="J70" s="1">
        <f t="shared" si="9"/>
        <v>1.5149447258975177</v>
      </c>
      <c r="K70" s="1">
        <v>1.5149447258975177</v>
      </c>
      <c r="L70" s="1">
        <v>1.5149447258975177</v>
      </c>
      <c r="O70" s="1">
        <v>2.4395183950935859</v>
      </c>
      <c r="P70" s="1">
        <f t="shared" si="14"/>
        <v>0.24111094163758642</v>
      </c>
    </row>
    <row r="71" spans="1:16">
      <c r="A71" s="1">
        <f t="shared" si="15"/>
        <v>6.9999999999999911</v>
      </c>
      <c r="B71" s="1">
        <v>0.21890000000000001</v>
      </c>
      <c r="C71" s="1">
        <v>25.08</v>
      </c>
      <c r="D71" s="1"/>
      <c r="E71" s="9"/>
      <c r="F71" s="1">
        <f t="shared" si="11"/>
        <v>6.9999999999999911</v>
      </c>
      <c r="G71" s="1">
        <f t="shared" si="10"/>
        <v>2.4748737341529132</v>
      </c>
      <c r="H71" s="1">
        <f t="shared" si="12"/>
        <v>0.21890000000000001</v>
      </c>
      <c r="I71" s="1">
        <f t="shared" si="13"/>
        <v>0.22256578947368422</v>
      </c>
      <c r="J71" s="1">
        <f t="shared" si="9"/>
        <v>1.4872009847086181</v>
      </c>
      <c r="K71" s="1">
        <v>1.4872009847086181</v>
      </c>
      <c r="L71" s="1">
        <v>1.4872009847086181</v>
      </c>
      <c r="O71" s="1">
        <v>2.4748737341529132</v>
      </c>
      <c r="P71" s="1">
        <f t="shared" si="14"/>
        <v>0.23669538808751081</v>
      </c>
    </row>
    <row r="72" spans="1:16">
      <c r="A72" s="1">
        <f>A71+0.2</f>
        <v>7.1999999999999913</v>
      </c>
      <c r="B72" s="1">
        <v>0.20660000000000001</v>
      </c>
      <c r="C72" s="1">
        <v>25.09</v>
      </c>
      <c r="D72" s="1"/>
      <c r="E72" s="9"/>
      <c r="F72" s="1">
        <f t="shared" si="11"/>
        <v>7.1999999999999913</v>
      </c>
      <c r="G72" s="1">
        <f t="shared" si="10"/>
        <v>2.5455844122715678</v>
      </c>
      <c r="H72" s="1">
        <f t="shared" si="12"/>
        <v>0.20660000000000001</v>
      </c>
      <c r="I72" s="1">
        <f t="shared" si="13"/>
        <v>0.20997608609007573</v>
      </c>
      <c r="J72" s="1">
        <f t="shared" si="9"/>
        <v>1.4350386476769019</v>
      </c>
      <c r="K72" s="1">
        <v>1.4350386476769019</v>
      </c>
      <c r="L72" s="1">
        <v>1.4350386476769019</v>
      </c>
      <c r="O72" s="1">
        <v>2.5455844122715678</v>
      </c>
      <c r="P72" s="1">
        <f t="shared" si="14"/>
        <v>0.22839349430568778</v>
      </c>
    </row>
    <row r="73" spans="1:16">
      <c r="A73" s="1">
        <f t="shared" ref="A73:A86" si="16">A72+0.2</f>
        <v>7.3999999999999915</v>
      </c>
      <c r="B73" s="1">
        <v>0.19520000000000001</v>
      </c>
      <c r="C73" s="1">
        <v>25.09</v>
      </c>
      <c r="D73" s="1"/>
      <c r="E73" s="9"/>
      <c r="F73" s="1">
        <f t="shared" si="11"/>
        <v>7.3999999999999915</v>
      </c>
      <c r="G73" s="1">
        <f t="shared" si="10"/>
        <v>2.6162950903902225</v>
      </c>
      <c r="H73" s="1">
        <f t="shared" si="12"/>
        <v>0.19520000000000001</v>
      </c>
      <c r="I73" s="1">
        <f t="shared" si="13"/>
        <v>0.19838979673176568</v>
      </c>
      <c r="J73" s="1">
        <f t="shared" si="9"/>
        <v>1.3867061582682938</v>
      </c>
      <c r="K73" s="1">
        <v>1.3867061582682938</v>
      </c>
      <c r="L73" s="1">
        <v>1.3867061582682938</v>
      </c>
      <c r="O73" s="1">
        <v>2.6162950903902225</v>
      </c>
      <c r="P73" s="1">
        <f t="shared" si="14"/>
        <v>0.22070113970437111</v>
      </c>
    </row>
    <row r="74" spans="1:16">
      <c r="A74" s="1">
        <f t="shared" si="16"/>
        <v>7.5999999999999917</v>
      </c>
      <c r="B74" s="1">
        <v>0.18479999999999999</v>
      </c>
      <c r="C74" s="1">
        <v>25.09</v>
      </c>
      <c r="D74" s="1"/>
      <c r="E74" s="9"/>
      <c r="F74" s="1">
        <f t="shared" si="11"/>
        <v>7.5999999999999917</v>
      </c>
      <c r="G74" s="1">
        <f t="shared" si="10"/>
        <v>2.6870057685088775</v>
      </c>
      <c r="H74" s="1">
        <f t="shared" si="12"/>
        <v>0.18479999999999999</v>
      </c>
      <c r="I74" s="1">
        <f t="shared" si="13"/>
        <v>0.18781984854523714</v>
      </c>
      <c r="J74" s="1">
        <f t="shared" si="9"/>
        <v>1.3422333975000538</v>
      </c>
      <c r="K74" s="1">
        <v>1.3422333975000538</v>
      </c>
      <c r="L74" s="1">
        <v>1.3422333975000538</v>
      </c>
      <c r="O74" s="1">
        <v>2.6870057685088775</v>
      </c>
      <c r="P74" s="1">
        <f t="shared" si="14"/>
        <v>0.21362307999516239</v>
      </c>
    </row>
    <row r="75" spans="1:16">
      <c r="A75" s="1">
        <f t="shared" si="16"/>
        <v>7.7999999999999918</v>
      </c>
      <c r="B75" s="1">
        <v>0.17499999999999999</v>
      </c>
      <c r="C75" s="1">
        <v>25.07</v>
      </c>
      <c r="D75" s="1"/>
      <c r="E75" s="9"/>
      <c r="F75" s="1">
        <f t="shared" si="11"/>
        <v>7.7999999999999918</v>
      </c>
      <c r="G75" s="1">
        <f t="shared" si="10"/>
        <v>2.7577164466275321</v>
      </c>
      <c r="H75" s="1">
        <f t="shared" si="12"/>
        <v>0.17499999999999999</v>
      </c>
      <c r="I75" s="1">
        <f t="shared" si="13"/>
        <v>0.17800159553250894</v>
      </c>
      <c r="J75" s="1">
        <f t="shared" si="9"/>
        <v>1.3005087630294785</v>
      </c>
      <c r="K75" s="1">
        <v>1.3005087630294785</v>
      </c>
      <c r="L75" s="1">
        <v>1.3005087630294785</v>
      </c>
      <c r="O75" s="1">
        <v>2.7577164466275321</v>
      </c>
      <c r="P75" s="1">
        <f t="shared" si="14"/>
        <v>0.20698239817046785</v>
      </c>
    </row>
    <row r="76" spans="1:16">
      <c r="A76" s="1">
        <f t="shared" si="16"/>
        <v>7.999999999999992</v>
      </c>
      <c r="B76" s="1">
        <v>0.16600000000000001</v>
      </c>
      <c r="C76" s="1">
        <v>25.07</v>
      </c>
      <c r="D76" s="1"/>
      <c r="E76" s="9"/>
      <c r="F76" s="1">
        <f t="shared" si="11"/>
        <v>7.999999999999992</v>
      </c>
      <c r="G76" s="1">
        <f t="shared" si="10"/>
        <v>2.8284271247461872</v>
      </c>
      <c r="H76" s="1">
        <f t="shared" si="12"/>
        <v>0.16600000000000001</v>
      </c>
      <c r="I76" s="1">
        <f t="shared" si="13"/>
        <v>0.16884722776226568</v>
      </c>
      <c r="J76" s="1">
        <f t="shared" ref="J76:J106" si="17">ACOS(1-2*(I76/MAX(I$3:I$111)))</f>
        <v>1.2611673545213662</v>
      </c>
      <c r="K76" s="1">
        <v>1.2611673545213662</v>
      </c>
      <c r="L76" s="1">
        <v>1.2611673545213662</v>
      </c>
      <c r="O76" s="1">
        <v>2.8284271247461872</v>
      </c>
      <c r="P76" s="1">
        <f t="shared" si="14"/>
        <v>0.20072101853820423</v>
      </c>
    </row>
    <row r="77" spans="1:16">
      <c r="A77" s="1">
        <f t="shared" si="16"/>
        <v>8.1999999999999922</v>
      </c>
      <c r="B77" s="1">
        <v>0.1578</v>
      </c>
      <c r="C77" s="1">
        <v>25.07</v>
      </c>
      <c r="D77" s="1"/>
      <c r="E77" s="9"/>
      <c r="F77" s="1">
        <f t="shared" si="11"/>
        <v>8.1999999999999922</v>
      </c>
      <c r="G77" s="1">
        <f t="shared" si="10"/>
        <v>2.8991378028648418</v>
      </c>
      <c r="H77" s="1">
        <f t="shared" si="12"/>
        <v>0.1578</v>
      </c>
      <c r="I77" s="1">
        <f t="shared" si="13"/>
        <v>0.16050658157159953</v>
      </c>
      <c r="J77" s="1">
        <f t="shared" si="17"/>
        <v>1.2248881958813758</v>
      </c>
      <c r="K77" s="1">
        <v>1.2248881958813758</v>
      </c>
      <c r="L77" s="1">
        <v>1.2248881958813758</v>
      </c>
      <c r="O77" s="1">
        <v>2.8991378028648418</v>
      </c>
      <c r="P77" s="1">
        <f t="shared" si="14"/>
        <v>0.19494701110943471</v>
      </c>
    </row>
    <row r="78" spans="1:16">
      <c r="A78" s="1">
        <f t="shared" si="16"/>
        <v>8.3999999999999915</v>
      </c>
      <c r="B78" s="1">
        <v>0.15010000000000001</v>
      </c>
      <c r="C78" s="1">
        <v>25.07</v>
      </c>
      <c r="D78" s="1"/>
      <c r="E78" s="9"/>
      <c r="F78" s="1">
        <f t="shared" si="11"/>
        <v>8.3999999999999915</v>
      </c>
      <c r="G78" s="1">
        <f t="shared" si="10"/>
        <v>2.9698484809834964</v>
      </c>
      <c r="H78" s="1">
        <f t="shared" si="12"/>
        <v>0.15010000000000001</v>
      </c>
      <c r="I78" s="1">
        <f t="shared" si="13"/>
        <v>0.15267451136816915</v>
      </c>
      <c r="J78" s="1">
        <f t="shared" si="17"/>
        <v>1.1903846148913044</v>
      </c>
      <c r="K78" s="1">
        <v>1.1903846148913044</v>
      </c>
      <c r="L78" s="1">
        <v>1.1903846148913044</v>
      </c>
      <c r="O78" s="1">
        <v>2.9698484809834964</v>
      </c>
      <c r="P78" s="1">
        <f t="shared" si="14"/>
        <v>0.1894555956404933</v>
      </c>
    </row>
    <row r="79" spans="1:16">
      <c r="A79" s="1">
        <f t="shared" si="16"/>
        <v>8.5999999999999908</v>
      </c>
      <c r="B79" s="1">
        <v>0.1431</v>
      </c>
      <c r="C79" s="1">
        <v>25.07</v>
      </c>
      <c r="D79" s="1"/>
      <c r="E79" s="9"/>
      <c r="F79" s="1">
        <f t="shared" si="11"/>
        <v>8.5999999999999908</v>
      </c>
      <c r="G79" s="1">
        <f t="shared" si="10"/>
        <v>3.040559159102151</v>
      </c>
      <c r="H79" s="1">
        <f t="shared" si="12"/>
        <v>0.1431</v>
      </c>
      <c r="I79" s="1">
        <f t="shared" si="13"/>
        <v>0.14555444754686875</v>
      </c>
      <c r="J79" s="1">
        <f t="shared" si="17"/>
        <v>1.1586002451161852</v>
      </c>
      <c r="K79" s="1">
        <v>1.1586002451161852</v>
      </c>
      <c r="L79" s="1">
        <v>1.1586002451161852</v>
      </c>
      <c r="O79" s="1">
        <v>3.040559159102151</v>
      </c>
      <c r="P79" s="1">
        <f t="shared" si="14"/>
        <v>0.18439695607772244</v>
      </c>
    </row>
    <row r="80" spans="1:16">
      <c r="A80" s="1">
        <f t="shared" si="16"/>
        <v>8.7999999999999901</v>
      </c>
      <c r="B80" s="1">
        <v>0.13650000000000001</v>
      </c>
      <c r="C80" s="1">
        <v>25.08</v>
      </c>
      <c r="D80" s="1"/>
      <c r="E80" s="9"/>
      <c r="F80" s="1">
        <f t="shared" si="11"/>
        <v>8.7999999999999901</v>
      </c>
      <c r="G80" s="1">
        <f t="shared" si="10"/>
        <v>3.1112698372208052</v>
      </c>
      <c r="H80" s="1">
        <f t="shared" si="12"/>
        <v>0.13650000000000001</v>
      </c>
      <c r="I80" s="1">
        <f t="shared" si="13"/>
        <v>0.13878588516746415</v>
      </c>
      <c r="J80" s="1">
        <f t="shared" si="17"/>
        <v>1.127970259965668</v>
      </c>
      <c r="K80" s="1">
        <v>1.127970259965668</v>
      </c>
      <c r="L80" s="1">
        <v>1.127970259965668</v>
      </c>
      <c r="O80" s="1">
        <v>3.1112698372208052</v>
      </c>
      <c r="P80" s="1">
        <f t="shared" si="14"/>
        <v>0.1795220425341863</v>
      </c>
    </row>
    <row r="81" spans="1:16">
      <c r="A81" s="1">
        <f t="shared" si="16"/>
        <v>8.9999999999999893</v>
      </c>
      <c r="B81" s="1">
        <v>0.1303</v>
      </c>
      <c r="C81" s="1">
        <v>25.08</v>
      </c>
      <c r="D81" s="1"/>
      <c r="E81" s="9"/>
      <c r="F81" s="1">
        <f t="shared" si="11"/>
        <v>8.9999999999999893</v>
      </c>
      <c r="G81" s="1">
        <f t="shared" si="10"/>
        <v>3.1819805153394598</v>
      </c>
      <c r="H81" s="1">
        <f t="shared" si="12"/>
        <v>0.1303</v>
      </c>
      <c r="I81" s="1">
        <f t="shared" si="13"/>
        <v>0.13248205741626795</v>
      </c>
      <c r="J81" s="1">
        <f t="shared" si="17"/>
        <v>1.0990381332374279</v>
      </c>
      <c r="K81" s="1">
        <v>1.0990381332374279</v>
      </c>
      <c r="L81" s="1">
        <v>1.0990381332374279</v>
      </c>
      <c r="O81" s="1">
        <v>3.1819805153394598</v>
      </c>
      <c r="P81" s="1">
        <f t="shared" si="14"/>
        <v>0.17491735155122573</v>
      </c>
    </row>
    <row r="82" spans="1:16">
      <c r="A82" s="1">
        <f t="shared" si="16"/>
        <v>9.1999999999999886</v>
      </c>
      <c r="B82" s="1">
        <v>0.1246</v>
      </c>
      <c r="C82" s="1">
        <v>25.08</v>
      </c>
      <c r="D82" s="1"/>
      <c r="E82" s="9"/>
      <c r="F82" s="1">
        <f t="shared" si="11"/>
        <v>9.1999999999999886</v>
      </c>
      <c r="G82" s="1">
        <f t="shared" si="10"/>
        <v>3.2526911934581144</v>
      </c>
      <c r="H82" s="1">
        <f t="shared" si="12"/>
        <v>0.1246</v>
      </c>
      <c r="I82" s="1">
        <f t="shared" si="13"/>
        <v>0.1266866028708134</v>
      </c>
      <c r="J82" s="1">
        <f t="shared" si="17"/>
        <v>1.0720577063473717</v>
      </c>
      <c r="K82" s="1">
        <v>1.0720577063473717</v>
      </c>
      <c r="L82" s="1">
        <v>1.0720577063473717</v>
      </c>
      <c r="O82" s="1">
        <v>3.2526911934581144</v>
      </c>
      <c r="P82" s="1">
        <f t="shared" si="14"/>
        <v>0.1706232832449438</v>
      </c>
    </row>
    <row r="83" spans="1:16">
      <c r="A83" s="1">
        <f t="shared" si="16"/>
        <v>9.3999999999999879</v>
      </c>
      <c r="B83" s="1">
        <v>0.1192</v>
      </c>
      <c r="C83" s="1">
        <v>25.09</v>
      </c>
      <c r="D83" s="1"/>
      <c r="E83" s="9"/>
      <c r="F83" s="1">
        <f t="shared" si="11"/>
        <v>9.3999999999999879</v>
      </c>
      <c r="G83" s="1">
        <f t="shared" si="10"/>
        <v>3.323401871576769</v>
      </c>
      <c r="H83" s="1">
        <f t="shared" si="12"/>
        <v>0.1192</v>
      </c>
      <c r="I83" s="1">
        <f t="shared" si="13"/>
        <v>0.1211478676763651</v>
      </c>
      <c r="J83" s="1">
        <f t="shared" si="17"/>
        <v>1.0458967440267881</v>
      </c>
      <c r="K83" s="1">
        <v>1.0458967440267881</v>
      </c>
      <c r="L83" s="1">
        <v>1.0458967440267881</v>
      </c>
      <c r="O83" s="1">
        <v>3.323401871576769</v>
      </c>
      <c r="P83" s="1">
        <f t="shared" si="14"/>
        <v>0.16645963677558209</v>
      </c>
    </row>
    <row r="84" spans="1:16">
      <c r="A84" s="1">
        <f t="shared" si="16"/>
        <v>9.5999999999999872</v>
      </c>
      <c r="B84" s="1">
        <v>0.1143</v>
      </c>
      <c r="C84" s="1">
        <v>25.09</v>
      </c>
      <c r="D84" s="1"/>
      <c r="E84" s="9"/>
      <c r="F84" s="1">
        <f t="shared" si="11"/>
        <v>9.5999999999999872</v>
      </c>
      <c r="G84" s="1">
        <f t="shared" si="10"/>
        <v>3.3941125496954232</v>
      </c>
      <c r="H84" s="1">
        <f t="shared" si="12"/>
        <v>0.1143</v>
      </c>
      <c r="I84" s="1">
        <f t="shared" si="13"/>
        <v>0.11616779593463532</v>
      </c>
      <c r="J84" s="1">
        <f t="shared" si="17"/>
        <v>1.0220318591629829</v>
      </c>
      <c r="K84" s="1">
        <v>1.0220318591629829</v>
      </c>
      <c r="L84" s="1">
        <v>1.0220318591629829</v>
      </c>
      <c r="O84" s="1">
        <v>3.3941125496954232</v>
      </c>
      <c r="P84" s="1">
        <f t="shared" si="14"/>
        <v>0.16266142238318854</v>
      </c>
    </row>
    <row r="85" spans="1:16">
      <c r="A85" s="1">
        <f t="shared" si="16"/>
        <v>9.7999999999999865</v>
      </c>
      <c r="B85" s="1">
        <v>0.1095</v>
      </c>
      <c r="C85" s="1">
        <v>25.09</v>
      </c>
      <c r="D85" s="1"/>
      <c r="E85" s="9"/>
      <c r="F85" s="1">
        <f t="shared" si="11"/>
        <v>9.7999999999999865</v>
      </c>
      <c r="G85" s="1">
        <f t="shared" si="10"/>
        <v>3.4648232278140778</v>
      </c>
      <c r="H85" s="1">
        <f t="shared" si="12"/>
        <v>0.1095</v>
      </c>
      <c r="I85" s="1">
        <f t="shared" si="13"/>
        <v>0.1112893583100837</v>
      </c>
      <c r="J85" s="1">
        <f t="shared" si="17"/>
        <v>0.99831146265269677</v>
      </c>
      <c r="K85" s="1">
        <v>0.99831146265269677</v>
      </c>
      <c r="L85" s="1">
        <v>0.99831146265269677</v>
      </c>
      <c r="O85" s="1">
        <v>3.4648232278140778</v>
      </c>
      <c r="P85" s="1">
        <f t="shared" si="14"/>
        <v>0.15888620402647677</v>
      </c>
    </row>
    <row r="86" spans="1:16">
      <c r="A86" s="1">
        <f t="shared" si="16"/>
        <v>9.9999999999999858</v>
      </c>
      <c r="B86" s="1">
        <v>0.105</v>
      </c>
      <c r="C86" s="1">
        <v>25.08</v>
      </c>
      <c r="D86" s="1"/>
      <c r="E86" s="9"/>
      <c r="F86" s="1">
        <f t="shared" si="11"/>
        <v>9.9999999999999858</v>
      </c>
      <c r="G86" s="1">
        <f t="shared" si="10"/>
        <v>3.5355339059327324</v>
      </c>
      <c r="H86" s="1">
        <f t="shared" si="12"/>
        <v>0.105</v>
      </c>
      <c r="I86" s="1">
        <f t="shared" si="13"/>
        <v>0.10675837320574162</v>
      </c>
      <c r="J86" s="1">
        <f t="shared" si="17"/>
        <v>0.97595118818809101</v>
      </c>
      <c r="K86" s="1">
        <v>0.97595118818809101</v>
      </c>
      <c r="L86" s="1">
        <v>0.97595118818809101</v>
      </c>
      <c r="O86" s="1">
        <v>3.5355339059327324</v>
      </c>
      <c r="P86" s="1">
        <f t="shared" si="14"/>
        <v>0.15532745581654325</v>
      </c>
    </row>
    <row r="87" spans="1:16">
      <c r="A87" s="1">
        <f>A86+0.5</f>
        <v>10.499999999999986</v>
      </c>
      <c r="B87" s="1">
        <v>9.5200000000000007E-2</v>
      </c>
      <c r="C87" s="1">
        <v>25.07</v>
      </c>
      <c r="D87" s="1"/>
      <c r="E87" s="9"/>
      <c r="F87" s="1">
        <f t="shared" si="11"/>
        <v>10.499999999999986</v>
      </c>
      <c r="G87" s="1">
        <f t="shared" si="10"/>
        <v>3.7123106012293694</v>
      </c>
      <c r="H87" s="1">
        <f t="shared" si="12"/>
        <v>9.5200000000000007E-2</v>
      </c>
      <c r="I87" s="1">
        <f t="shared" si="13"/>
        <v>9.6832867969684877E-2</v>
      </c>
      <c r="J87" s="1">
        <f t="shared" si="17"/>
        <v>0.92572846840039091</v>
      </c>
      <c r="K87" s="1">
        <v>0.92572846840039091</v>
      </c>
      <c r="L87" s="1">
        <v>0.92572846840039091</v>
      </c>
      <c r="O87" s="1">
        <v>3.7123106012293694</v>
      </c>
      <c r="P87" s="1">
        <f t="shared" si="14"/>
        <v>0.14733426170681166</v>
      </c>
    </row>
    <row r="88" spans="1:16">
      <c r="A88" s="1">
        <f t="shared" ref="A88:A106" si="18">A87+0.5</f>
        <v>10.999999999999986</v>
      </c>
      <c r="B88" s="1">
        <v>8.6699999999999999E-2</v>
      </c>
      <c r="C88" s="1">
        <v>25.07</v>
      </c>
      <c r="D88" s="1"/>
      <c r="E88" s="9"/>
      <c r="F88" s="1">
        <f t="shared" si="11"/>
        <v>10.999999999999986</v>
      </c>
      <c r="G88" s="1">
        <f t="shared" si="10"/>
        <v>3.8890872965260059</v>
      </c>
      <c r="H88" s="1">
        <f t="shared" si="12"/>
        <v>8.6699999999999999E-2</v>
      </c>
      <c r="I88" s="1">
        <f t="shared" si="13"/>
        <v>8.8187076186677288E-2</v>
      </c>
      <c r="J88" s="1">
        <f t="shared" si="17"/>
        <v>0.88038403880519822</v>
      </c>
      <c r="K88" s="1">
        <v>0.88038403880519822</v>
      </c>
      <c r="L88" s="1">
        <v>0.88038403880519822</v>
      </c>
      <c r="O88" s="1">
        <v>3.8890872965260059</v>
      </c>
      <c r="P88" s="1">
        <f t="shared" si="14"/>
        <v>0.1401174715950543</v>
      </c>
    </row>
    <row r="89" spans="1:16">
      <c r="A89" s="1">
        <f t="shared" si="18"/>
        <v>11.499999999999986</v>
      </c>
      <c r="B89" s="1">
        <v>7.9299999999999995E-2</v>
      </c>
      <c r="C89" s="1">
        <v>25.05</v>
      </c>
      <c r="D89" s="1"/>
      <c r="E89" s="9"/>
      <c r="F89" s="1">
        <f t="shared" si="11"/>
        <v>11.499999999999986</v>
      </c>
      <c r="G89" s="1">
        <f t="shared" si="10"/>
        <v>4.0658639918226429</v>
      </c>
      <c r="H89" s="1">
        <f t="shared" si="12"/>
        <v>7.9299999999999995E-2</v>
      </c>
      <c r="I89" s="1">
        <f t="shared" si="13"/>
        <v>8.0724550898203587E-2</v>
      </c>
      <c r="J89" s="1">
        <f t="shared" si="17"/>
        <v>0.83983594373540316</v>
      </c>
      <c r="K89" s="1">
        <v>0.83983594373540316</v>
      </c>
      <c r="L89" s="1">
        <v>0.83983594373540316</v>
      </c>
      <c r="O89" s="1">
        <v>4.0658639918226429</v>
      </c>
      <c r="P89" s="1">
        <f t="shared" si="14"/>
        <v>0.1336640418317363</v>
      </c>
    </row>
    <row r="90" spans="1:16">
      <c r="A90" s="1">
        <f t="shared" si="18"/>
        <v>11.999999999999986</v>
      </c>
      <c r="B90" s="1">
        <v>7.2800000000000004E-2</v>
      </c>
      <c r="C90" s="1">
        <v>25.06</v>
      </c>
      <c r="D90" s="1"/>
      <c r="E90" s="9"/>
      <c r="F90" s="1">
        <f t="shared" si="11"/>
        <v>11.999999999999986</v>
      </c>
      <c r="G90" s="1">
        <f t="shared" si="10"/>
        <v>4.2426406871192794</v>
      </c>
      <c r="H90" s="1">
        <f t="shared" si="12"/>
        <v>7.2800000000000004E-2</v>
      </c>
      <c r="I90" s="1">
        <f t="shared" si="13"/>
        <v>7.4078212290502793E-2</v>
      </c>
      <c r="J90" s="1">
        <f t="shared" si="17"/>
        <v>0.80244055680940218</v>
      </c>
      <c r="K90" s="1">
        <v>0.80244055680940218</v>
      </c>
      <c r="L90" s="1">
        <v>0.80244055680940218</v>
      </c>
      <c r="O90" s="1">
        <v>4.2426406871192794</v>
      </c>
      <c r="P90" s="1">
        <f t="shared" si="14"/>
        <v>0.12771238115362921</v>
      </c>
    </row>
    <row r="91" spans="1:16">
      <c r="A91" s="1">
        <f t="shared" si="18"/>
        <v>12.499999999999986</v>
      </c>
      <c r="B91" s="1">
        <v>6.7000000000000004E-2</v>
      </c>
      <c r="C91" s="1">
        <v>25.06</v>
      </c>
      <c r="D91" s="1"/>
      <c r="E91" s="9"/>
      <c r="F91" s="1">
        <f t="shared" si="11"/>
        <v>12.499999999999986</v>
      </c>
      <c r="G91" s="1">
        <f t="shared" si="10"/>
        <v>4.4194173824159169</v>
      </c>
      <c r="H91" s="1">
        <f t="shared" si="12"/>
        <v>6.7000000000000004E-2</v>
      </c>
      <c r="I91" s="1">
        <f t="shared" si="13"/>
        <v>6.8176376695929783E-2</v>
      </c>
      <c r="J91" s="1">
        <f t="shared" si="17"/>
        <v>0.76806404172097076</v>
      </c>
      <c r="K91" s="1">
        <v>0.76806404172097076</v>
      </c>
      <c r="L91" s="1">
        <v>0.76806404172097076</v>
      </c>
      <c r="O91" s="1">
        <v>4.4194173824159169</v>
      </c>
      <c r="P91" s="1">
        <f t="shared" si="14"/>
        <v>0.12224118885103223</v>
      </c>
    </row>
    <row r="92" spans="1:16">
      <c r="A92" s="1">
        <f t="shared" si="18"/>
        <v>12.999999999999986</v>
      </c>
      <c r="B92" s="1">
        <v>6.1800000000000001E-2</v>
      </c>
      <c r="C92" s="1">
        <v>25.07</v>
      </c>
      <c r="D92" s="1"/>
      <c r="E92" s="9"/>
      <c r="F92" s="1">
        <f t="shared" si="11"/>
        <v>12.999999999999986</v>
      </c>
      <c r="G92" s="1">
        <f t="shared" si="10"/>
        <v>4.5961940777125534</v>
      </c>
      <c r="H92" s="1">
        <f t="shared" si="12"/>
        <v>6.1800000000000001E-2</v>
      </c>
      <c r="I92" s="1">
        <f t="shared" si="13"/>
        <v>6.2859992022337455E-2</v>
      </c>
      <c r="J92" s="1">
        <f t="shared" si="17"/>
        <v>0.7360156149520124</v>
      </c>
      <c r="K92" s="1">
        <v>0.7360156149520124</v>
      </c>
      <c r="L92" s="1">
        <v>0.7360156149520124</v>
      </c>
      <c r="O92" s="1">
        <v>4.5961940777125534</v>
      </c>
      <c r="P92" s="1">
        <f t="shared" si="14"/>
        <v>0.11714052331243388</v>
      </c>
    </row>
    <row r="93" spans="1:16">
      <c r="A93" s="1">
        <f t="shared" si="18"/>
        <v>13.499999999999986</v>
      </c>
      <c r="B93" s="1">
        <v>5.7299999999999997E-2</v>
      </c>
      <c r="C93" s="1">
        <v>25.06</v>
      </c>
      <c r="D93" s="1"/>
      <c r="E93" s="9"/>
      <c r="F93" s="1">
        <f t="shared" si="11"/>
        <v>13.499999999999986</v>
      </c>
      <c r="G93" s="1">
        <f t="shared" si="10"/>
        <v>4.7729707730091908</v>
      </c>
      <c r="H93" s="1">
        <f t="shared" si="12"/>
        <v>5.7299999999999997E-2</v>
      </c>
      <c r="I93" s="1">
        <f t="shared" si="13"/>
        <v>5.8306065442936955E-2</v>
      </c>
      <c r="J93" s="1">
        <f t="shared" si="17"/>
        <v>0.70763415089487769</v>
      </c>
      <c r="K93" s="1">
        <v>0.70763415089487769</v>
      </c>
      <c r="L93" s="1">
        <v>0.70763415089487769</v>
      </c>
      <c r="O93" s="1">
        <v>4.7729707730091908</v>
      </c>
      <c r="P93" s="1">
        <f t="shared" si="14"/>
        <v>0.11262347301555593</v>
      </c>
    </row>
    <row r="94" spans="1:16">
      <c r="A94" s="1">
        <f t="shared" si="18"/>
        <v>13.999999999999986</v>
      </c>
      <c r="B94" s="1">
        <v>5.3199999999999997E-2</v>
      </c>
      <c r="C94" s="1">
        <v>25.07</v>
      </c>
      <c r="D94" s="1"/>
      <c r="E94" s="9"/>
      <c r="F94" s="1">
        <f t="shared" si="11"/>
        <v>13.999999999999986</v>
      </c>
      <c r="G94" s="1">
        <f t="shared" si="10"/>
        <v>4.9497474683058273</v>
      </c>
      <c r="H94" s="1">
        <f t="shared" si="12"/>
        <v>5.3199999999999997E-2</v>
      </c>
      <c r="I94" s="1">
        <f t="shared" si="13"/>
        <v>5.4112485041882728E-2</v>
      </c>
      <c r="J94" s="1">
        <f t="shared" si="17"/>
        <v>0.68063924730725001</v>
      </c>
      <c r="K94" s="1">
        <v>0.68063924730725001</v>
      </c>
      <c r="L94" s="1">
        <v>0.68063924730725001</v>
      </c>
      <c r="O94" s="1">
        <v>4.9497474683058273</v>
      </c>
      <c r="P94" s="1">
        <f t="shared" si="14"/>
        <v>0.10832710067129585</v>
      </c>
    </row>
    <row r="95" spans="1:16">
      <c r="A95" s="1">
        <f t="shared" si="18"/>
        <v>14.499999999999986</v>
      </c>
      <c r="B95" s="1">
        <v>4.9599999999999998E-2</v>
      </c>
      <c r="C95" s="1">
        <v>25.05</v>
      </c>
      <c r="D95" s="1"/>
      <c r="E95" s="9"/>
      <c r="F95" s="1">
        <f t="shared" si="11"/>
        <v>14.499999999999986</v>
      </c>
      <c r="G95" s="1">
        <f t="shared" si="10"/>
        <v>5.1265241636024639</v>
      </c>
      <c r="H95" s="1">
        <f t="shared" si="12"/>
        <v>4.9599999999999998E-2</v>
      </c>
      <c r="I95" s="1">
        <f t="shared" si="13"/>
        <v>5.0491017964071849E-2</v>
      </c>
      <c r="J95" s="1">
        <f t="shared" si="17"/>
        <v>0.65658171911727703</v>
      </c>
      <c r="K95" s="1">
        <v>0.65658171911727703</v>
      </c>
      <c r="L95" s="1">
        <v>0.65658171911727703</v>
      </c>
      <c r="O95" s="1">
        <v>5.1265241636024639</v>
      </c>
      <c r="P95" s="1">
        <f t="shared" si="14"/>
        <v>0.10449822614128904</v>
      </c>
    </row>
    <row r="96" spans="1:16">
      <c r="A96" s="1">
        <f t="shared" si="18"/>
        <v>14.999999999999986</v>
      </c>
      <c r="B96" s="1">
        <v>4.6300000000000001E-2</v>
      </c>
      <c r="C96" s="1">
        <v>25.05</v>
      </c>
      <c r="D96" s="1"/>
      <c r="E96" s="9"/>
      <c r="F96" s="1">
        <f t="shared" si="11"/>
        <v>14.999999999999986</v>
      </c>
      <c r="G96" s="1">
        <f t="shared" si="10"/>
        <v>5.3033008588991013</v>
      </c>
      <c r="H96" s="1">
        <f t="shared" si="12"/>
        <v>4.6300000000000001E-2</v>
      </c>
      <c r="I96" s="1">
        <f t="shared" si="13"/>
        <v>4.7131736526946105E-2</v>
      </c>
      <c r="J96" s="1">
        <f t="shared" si="17"/>
        <v>0.63357428954153661</v>
      </c>
      <c r="K96" s="1">
        <v>0.63357428954153661</v>
      </c>
      <c r="L96" s="1">
        <v>0.63357428954153661</v>
      </c>
      <c r="O96" s="1">
        <v>5.3033008588991013</v>
      </c>
      <c r="P96" s="1">
        <f t="shared" si="14"/>
        <v>0.10083647999647129</v>
      </c>
    </row>
    <row r="97" spans="1:16">
      <c r="A97" s="1">
        <f t="shared" si="18"/>
        <v>15.499999999999986</v>
      </c>
      <c r="B97" s="1">
        <v>4.3400000000000001E-2</v>
      </c>
      <c r="C97" s="1">
        <v>25.05</v>
      </c>
      <c r="D97" s="1"/>
      <c r="E97" s="9"/>
      <c r="F97" s="1">
        <f t="shared" si="11"/>
        <v>15.499999999999986</v>
      </c>
      <c r="G97" s="1">
        <f t="shared" si="10"/>
        <v>5.4800775541957378</v>
      </c>
      <c r="H97" s="1">
        <f t="shared" si="12"/>
        <v>4.3400000000000001E-2</v>
      </c>
      <c r="I97" s="1">
        <f t="shared" si="13"/>
        <v>4.4179640718562875E-2</v>
      </c>
      <c r="J97" s="1">
        <f t="shared" si="17"/>
        <v>0.61274399180214878</v>
      </c>
      <c r="K97" s="1">
        <v>0.61274399180214878</v>
      </c>
      <c r="L97" s="1">
        <v>0.61274399180214878</v>
      </c>
      <c r="O97" s="1">
        <v>5.4800775541957378</v>
      </c>
      <c r="P97" s="1">
        <f t="shared" si="14"/>
        <v>9.7521235145171775E-2</v>
      </c>
    </row>
    <row r="98" spans="1:16">
      <c r="A98" s="1">
        <f t="shared" si="18"/>
        <v>15.999999999999986</v>
      </c>
      <c r="B98" s="1">
        <v>4.07E-2</v>
      </c>
      <c r="C98" s="1">
        <v>25.05</v>
      </c>
      <c r="D98" s="1"/>
      <c r="E98" s="9"/>
      <c r="F98" s="1">
        <f t="shared" si="11"/>
        <v>15.999999999999986</v>
      </c>
      <c r="G98" s="1">
        <f t="shared" si="10"/>
        <v>5.6568542494923744</v>
      </c>
      <c r="H98" s="1">
        <f t="shared" si="12"/>
        <v>4.07E-2</v>
      </c>
      <c r="I98" s="1">
        <f t="shared" si="13"/>
        <v>4.1431137724550891E-2</v>
      </c>
      <c r="J98" s="1">
        <f t="shared" si="17"/>
        <v>0.59277956382892494</v>
      </c>
      <c r="K98" s="1">
        <v>0.59277956382892494</v>
      </c>
      <c r="L98" s="1">
        <v>0.59277956382892494</v>
      </c>
      <c r="O98" s="1">
        <v>5.6568542494923744</v>
      </c>
      <c r="P98" s="1">
        <f t="shared" si="14"/>
        <v>9.434379774723109E-2</v>
      </c>
    </row>
    <row r="99" spans="1:16">
      <c r="A99" s="1">
        <f t="shared" si="18"/>
        <v>16.499999999999986</v>
      </c>
      <c r="B99" s="1">
        <v>3.8300000000000001E-2</v>
      </c>
      <c r="C99" s="1">
        <v>25.06</v>
      </c>
      <c r="D99" s="1"/>
      <c r="E99" s="9"/>
      <c r="F99" s="1">
        <f t="shared" si="11"/>
        <v>16.499999999999986</v>
      </c>
      <c r="G99" s="1">
        <f t="shared" si="10"/>
        <v>5.8336309447890118</v>
      </c>
      <c r="H99" s="1">
        <f t="shared" si="12"/>
        <v>3.8300000000000001E-2</v>
      </c>
      <c r="I99" s="1">
        <f t="shared" si="13"/>
        <v>3.897246608140463E-2</v>
      </c>
      <c r="J99" s="1">
        <f t="shared" si="17"/>
        <v>0.57440529432965193</v>
      </c>
      <c r="K99" s="1">
        <v>0.57440529432965193</v>
      </c>
      <c r="L99" s="1">
        <v>0.57440529432965193</v>
      </c>
      <c r="O99" s="1">
        <v>5.8336309447890118</v>
      </c>
      <c r="P99" s="1">
        <f t="shared" si="14"/>
        <v>9.1419441930719145E-2</v>
      </c>
    </row>
    <row r="100" spans="1:16">
      <c r="A100" s="1">
        <f t="shared" si="18"/>
        <v>16.999999999999986</v>
      </c>
      <c r="B100" s="1">
        <v>3.61E-2</v>
      </c>
      <c r="C100" s="1">
        <v>25.06</v>
      </c>
      <c r="D100" s="1"/>
      <c r="E100" s="9"/>
      <c r="F100" s="1">
        <f t="shared" si="11"/>
        <v>16.999999999999986</v>
      </c>
      <c r="G100" s="1">
        <f t="shared" si="10"/>
        <v>6.0104076400856483</v>
      </c>
      <c r="H100" s="1">
        <f t="shared" si="12"/>
        <v>3.61E-2</v>
      </c>
      <c r="I100" s="1">
        <f t="shared" si="13"/>
        <v>3.6733838786911416E-2</v>
      </c>
      <c r="J100" s="1">
        <f t="shared" si="17"/>
        <v>0.55720965758911123</v>
      </c>
      <c r="K100" s="1">
        <v>0.55720965758911123</v>
      </c>
      <c r="L100" s="1">
        <v>0.55720965758911123</v>
      </c>
      <c r="O100" s="1">
        <v>6.0104076400856483</v>
      </c>
      <c r="P100" s="1">
        <f t="shared" si="14"/>
        <v>8.8682671343849481E-2</v>
      </c>
    </row>
    <row r="101" spans="1:16">
      <c r="A101" s="1">
        <f t="shared" si="18"/>
        <v>17.499999999999986</v>
      </c>
      <c r="B101" s="1">
        <v>3.4000000000000002E-2</v>
      </c>
      <c r="C101" s="1">
        <v>25.06</v>
      </c>
      <c r="D101" s="1"/>
      <c r="E101" s="9"/>
      <c r="F101" s="1">
        <f t="shared" si="11"/>
        <v>17.499999999999986</v>
      </c>
      <c r="G101" s="1">
        <f t="shared" si="10"/>
        <v>6.1871843353822857</v>
      </c>
      <c r="H101" s="1">
        <f t="shared" si="12"/>
        <v>3.4000000000000002E-2</v>
      </c>
      <c r="I101" s="1">
        <f t="shared" si="13"/>
        <v>3.459696727853153E-2</v>
      </c>
      <c r="J101" s="1">
        <f t="shared" si="17"/>
        <v>0.54034080939384022</v>
      </c>
      <c r="K101" s="1">
        <v>0.54034080939384022</v>
      </c>
      <c r="L101" s="1">
        <v>0.54034080939384022</v>
      </c>
      <c r="O101" s="1">
        <v>6.1871843353822857</v>
      </c>
      <c r="P101" s="1">
        <f t="shared" si="14"/>
        <v>8.5997910769305311E-2</v>
      </c>
    </row>
    <row r="102" spans="1:16">
      <c r="A102" s="1">
        <f t="shared" si="18"/>
        <v>17.999999999999986</v>
      </c>
      <c r="B102" s="1">
        <v>3.2099999999999997E-2</v>
      </c>
      <c r="C102" s="1">
        <v>25.06</v>
      </c>
      <c r="D102" s="1"/>
      <c r="E102" s="9"/>
      <c r="F102" s="1">
        <f t="shared" si="11"/>
        <v>17.999999999999986</v>
      </c>
      <c r="G102" s="1">
        <f t="shared" si="10"/>
        <v>6.3639610306789223</v>
      </c>
      <c r="H102" s="1">
        <f t="shared" si="12"/>
        <v>3.2099999999999997E-2</v>
      </c>
      <c r="I102" s="1">
        <f t="shared" si="13"/>
        <v>3.266360734237829E-2</v>
      </c>
      <c r="J102" s="1">
        <f t="shared" si="17"/>
        <v>0.52465905480665898</v>
      </c>
      <c r="K102" s="1">
        <v>0.52465905480665898</v>
      </c>
      <c r="L102" s="1">
        <v>0.52465905480665898</v>
      </c>
      <c r="O102" s="1">
        <v>6.3639610306789223</v>
      </c>
      <c r="P102" s="1">
        <f t="shared" si="14"/>
        <v>8.3502082010401407E-2</v>
      </c>
    </row>
    <row r="103" spans="1:16">
      <c r="A103" s="1">
        <f t="shared" si="18"/>
        <v>18.499999999999986</v>
      </c>
      <c r="B103" s="1">
        <v>3.0499999999999999E-2</v>
      </c>
      <c r="C103" s="1">
        <v>25.07</v>
      </c>
      <c r="D103" s="1"/>
      <c r="E103" s="9"/>
      <c r="F103" s="1">
        <f t="shared" si="11"/>
        <v>18.499999999999986</v>
      </c>
      <c r="G103" s="1">
        <f t="shared" si="10"/>
        <v>6.5407377259755588</v>
      </c>
      <c r="H103" s="1">
        <f t="shared" si="12"/>
        <v>3.0499999999999999E-2</v>
      </c>
      <c r="I103" s="1">
        <f t="shared" si="13"/>
        <v>3.1023135221380133E-2</v>
      </c>
      <c r="J103" s="1">
        <f t="shared" si="17"/>
        <v>0.51101191856665129</v>
      </c>
      <c r="K103" s="1">
        <v>0.51101191856665129</v>
      </c>
      <c r="L103" s="1">
        <v>0.51101191856665129</v>
      </c>
      <c r="O103" s="1">
        <v>6.5407377259755588</v>
      </c>
      <c r="P103" s="1">
        <f t="shared" si="14"/>
        <v>8.1330072818755636E-2</v>
      </c>
    </row>
    <row r="104" spans="1:16">
      <c r="A104" s="1">
        <f t="shared" si="18"/>
        <v>18.999999999999986</v>
      </c>
      <c r="B104" s="1">
        <v>2.8799999999999999E-2</v>
      </c>
      <c r="C104" s="1">
        <v>25.07</v>
      </c>
      <c r="D104" s="1"/>
      <c r="E104" s="9"/>
      <c r="F104" s="1">
        <f t="shared" si="11"/>
        <v>18.999999999999986</v>
      </c>
      <c r="G104" s="1">
        <f t="shared" si="10"/>
        <v>6.7175144212721962</v>
      </c>
      <c r="H104" s="1">
        <f t="shared" si="12"/>
        <v>2.8799999999999999E-2</v>
      </c>
      <c r="I104" s="1">
        <f t="shared" si="13"/>
        <v>2.9293976864778616E-2</v>
      </c>
      <c r="J104" s="1">
        <f t="shared" si="17"/>
        <v>0.49625772788173439</v>
      </c>
      <c r="K104" s="1">
        <v>0.49625772788173439</v>
      </c>
      <c r="L104" s="1">
        <v>0.49625772788173439</v>
      </c>
      <c r="O104" s="1">
        <v>6.7175144212721962</v>
      </c>
      <c r="P104" s="1">
        <f t="shared" si="14"/>
        <v>7.8981870439930726E-2</v>
      </c>
    </row>
    <row r="105" spans="1:16">
      <c r="A105" s="1">
        <f t="shared" si="18"/>
        <v>19.499999999999986</v>
      </c>
      <c r="B105" s="1">
        <v>2.7300000000000001E-2</v>
      </c>
      <c r="C105" s="1">
        <v>25.06</v>
      </c>
      <c r="D105" s="1"/>
      <c r="E105" s="9"/>
      <c r="F105" s="1">
        <f t="shared" si="11"/>
        <v>19.499999999999986</v>
      </c>
      <c r="G105" s="1">
        <f t="shared" si="10"/>
        <v>6.8942911165688328</v>
      </c>
      <c r="H105" s="1">
        <f t="shared" si="12"/>
        <v>2.7300000000000001E-2</v>
      </c>
      <c r="I105" s="1">
        <f t="shared" si="13"/>
        <v>2.7779329608938551E-2</v>
      </c>
      <c r="J105" s="1">
        <f t="shared" si="17"/>
        <v>0.48299545232890839</v>
      </c>
      <c r="K105" s="1">
        <v>0.48299545232890839</v>
      </c>
      <c r="L105" s="1">
        <v>0.48299545232890839</v>
      </c>
      <c r="O105" s="1">
        <v>6.8942911165688328</v>
      </c>
      <c r="P105" s="1">
        <f t="shared" si="14"/>
        <v>7.6871113729051671E-2</v>
      </c>
    </row>
    <row r="106" spans="1:16">
      <c r="A106" s="1">
        <f t="shared" si="18"/>
        <v>19.999999999999986</v>
      </c>
      <c r="B106" s="1">
        <v>2.6100000000000002E-2</v>
      </c>
      <c r="C106" s="1">
        <v>25.05</v>
      </c>
      <c r="D106" s="1"/>
      <c r="E106" s="9"/>
      <c r="F106" s="1">
        <f t="shared" si="11"/>
        <v>19.999999999999986</v>
      </c>
      <c r="G106" s="1">
        <f t="shared" si="10"/>
        <v>7.0710678118654702</v>
      </c>
      <c r="H106" s="1">
        <f t="shared" si="12"/>
        <v>2.6100000000000002E-2</v>
      </c>
      <c r="I106" s="1">
        <f t="shared" si="13"/>
        <v>2.6568862275449103E-2</v>
      </c>
      <c r="J106" s="1">
        <f t="shared" si="17"/>
        <v>0.47215052885942521</v>
      </c>
      <c r="K106" s="1">
        <v>0.47215052885942521</v>
      </c>
      <c r="L106" s="1">
        <v>0.47215052885942521</v>
      </c>
      <c r="O106" s="1">
        <v>7.0710678118654702</v>
      </c>
      <c r="P106" s="1">
        <f t="shared" si="14"/>
        <v>7.5145090551430108E-2</v>
      </c>
    </row>
    <row r="107" spans="1:16">
      <c r="A107" s="1"/>
      <c r="B107" s="1"/>
      <c r="C107" s="1"/>
      <c r="D107" s="1"/>
      <c r="E107" s="9"/>
      <c r="F107" s="1"/>
      <c r="G107" s="1"/>
      <c r="H107" s="1"/>
      <c r="I107" s="1"/>
      <c r="J107" s="1"/>
      <c r="K107" s="1"/>
      <c r="L107" s="1"/>
    </row>
    <row r="108" spans="1:16">
      <c r="A108" s="1"/>
      <c r="B108" s="1"/>
      <c r="C108" s="1"/>
      <c r="D108" s="1"/>
      <c r="E108" s="9"/>
      <c r="F108" s="1"/>
      <c r="G108" s="1"/>
      <c r="H108" s="1"/>
      <c r="I108" s="1"/>
      <c r="J108" s="1"/>
      <c r="K108" s="1"/>
      <c r="L108" s="1"/>
    </row>
    <row r="109" spans="1:16">
      <c r="A109" s="1"/>
      <c r="B109" s="1"/>
      <c r="C109" s="1"/>
      <c r="D109" s="1"/>
      <c r="E109" s="9"/>
      <c r="F109" s="1"/>
      <c r="G109" s="1"/>
      <c r="H109" s="1"/>
      <c r="I109" s="1"/>
      <c r="J109" s="1"/>
      <c r="K109" s="1"/>
      <c r="L109" s="1"/>
    </row>
    <row r="110" spans="1:16">
      <c r="A110" s="1"/>
      <c r="B110" s="1"/>
      <c r="C110" s="1"/>
      <c r="D110" s="1"/>
      <c r="E110" s="9"/>
      <c r="F110" s="1"/>
      <c r="G110" s="1"/>
      <c r="H110" s="1"/>
      <c r="I110" s="1"/>
      <c r="J110" s="1"/>
      <c r="K110" s="1"/>
      <c r="L110" s="1"/>
    </row>
    <row r="111" spans="1:16">
      <c r="A111" s="1"/>
      <c r="B111" s="1"/>
      <c r="C111" s="1"/>
      <c r="D111" s="1"/>
      <c r="E111" s="9"/>
      <c r="F111" s="1"/>
      <c r="G111" s="1"/>
      <c r="H111" s="1"/>
      <c r="I111" s="1"/>
      <c r="J111" s="1"/>
      <c r="K111" s="1"/>
      <c r="L111" s="1"/>
    </row>
    <row r="112" spans="1:16">
      <c r="A112" s="1"/>
      <c r="B112" s="1"/>
      <c r="C112" s="1"/>
      <c r="D112" s="1"/>
      <c r="E112" s="9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9"/>
      <c r="F113" s="1"/>
      <c r="G113" s="1"/>
      <c r="H113" s="1"/>
      <c r="I113" s="1"/>
      <c r="J113" s="1"/>
      <c r="K113" s="1"/>
      <c r="L113" s="1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3"/>
  <sheetViews>
    <sheetView workbookViewId="0">
      <selection activeCell="K2" sqref="K2:K30"/>
    </sheetView>
  </sheetViews>
  <sheetFormatPr defaultRowHeight="14.5"/>
  <cols>
    <col min="15" max="15" width="8.81640625" style="1"/>
  </cols>
  <sheetData>
    <row r="1" spans="1:16">
      <c r="A1" s="1" t="s">
        <v>0</v>
      </c>
      <c r="B1" s="1" t="s">
        <v>22</v>
      </c>
      <c r="C1" s="1" t="s">
        <v>23</v>
      </c>
      <c r="D1" s="3" t="s">
        <v>3</v>
      </c>
      <c r="E1" s="9"/>
      <c r="F1" s="1" t="s">
        <v>4</v>
      </c>
      <c r="G1" s="4" t="s">
        <v>5</v>
      </c>
      <c r="H1" s="5" t="s">
        <v>6</v>
      </c>
      <c r="I1" s="3" t="s">
        <v>3</v>
      </c>
      <c r="J1" s="6" t="s">
        <v>7</v>
      </c>
      <c r="K1" s="7" t="s">
        <v>8</v>
      </c>
      <c r="L1" s="7" t="s">
        <v>15</v>
      </c>
      <c r="O1" s="1" t="s">
        <v>5</v>
      </c>
      <c r="P1" s="1" t="s">
        <v>24</v>
      </c>
    </row>
    <row r="2" spans="1:16">
      <c r="A2" s="1">
        <v>0.1</v>
      </c>
      <c r="B2" s="1">
        <v>0.14399999999999999</v>
      </c>
      <c r="C2" s="1">
        <v>0.2389</v>
      </c>
      <c r="D2" s="10"/>
      <c r="E2" s="9"/>
      <c r="F2" s="1">
        <f>A2</f>
        <v>0.1</v>
      </c>
      <c r="G2" s="1">
        <f t="shared" ref="G2:G65" si="0">F2/2/SQRT(2)</f>
        <v>3.5355339059327376E-2</v>
      </c>
      <c r="H2" s="1">
        <f>B2</f>
        <v>0.14399999999999999</v>
      </c>
      <c r="I2" s="1">
        <f>H2*MAX(C$2:C$113)/C2</f>
        <v>0.14399999999999999</v>
      </c>
      <c r="J2" s="1">
        <f>ACOS(1-2*(I2/MAX(I$3:I$111)))</f>
        <v>1.4318566260711307</v>
      </c>
      <c r="K2" s="1">
        <f>2*J$30-J2</f>
        <v>4.8513286811084555</v>
      </c>
      <c r="L2" s="1"/>
      <c r="O2" s="1">
        <v>3.5355339059327376E-2</v>
      </c>
      <c r="P2" s="1">
        <f>K2/2/PI()</f>
        <v>0.77211294016189591</v>
      </c>
    </row>
    <row r="3" spans="1:16">
      <c r="A3" s="1">
        <f>A2+0.1</f>
        <v>0.2</v>
      </c>
      <c r="B3" s="1">
        <v>0.14399999999999999</v>
      </c>
      <c r="C3" s="1">
        <v>0.23880000000000001</v>
      </c>
      <c r="D3" s="10"/>
      <c r="E3" s="9"/>
      <c r="F3" s="1">
        <f t="shared" ref="F3:F66" si="1">A3</f>
        <v>0.2</v>
      </c>
      <c r="G3" s="1">
        <f t="shared" si="0"/>
        <v>7.0710678118654752E-2</v>
      </c>
      <c r="H3" s="1">
        <f t="shared" ref="H3:H66" si="2">B3</f>
        <v>0.14399999999999999</v>
      </c>
      <c r="I3" s="1">
        <f t="shared" ref="I3:I66" si="3">H3*MAX(C$2:C$113)/C3</f>
        <v>0.14406030150753768</v>
      </c>
      <c r="J3" s="1">
        <f t="shared" ref="J3:J43" si="4">ACOS(1-2*(I3/MAX(I$3:I$111)))</f>
        <v>1.4322208922077839</v>
      </c>
      <c r="K3" s="1">
        <f t="shared" ref="K3:K66" si="5">2*J$30-J3</f>
        <v>4.8509644149718021</v>
      </c>
      <c r="L3" s="1"/>
      <c r="O3" s="1">
        <v>7.0710678118654752E-2</v>
      </c>
      <c r="P3" s="1">
        <f t="shared" ref="P3:P66" si="6">K3/2/PI()</f>
        <v>0.77205496540564655</v>
      </c>
    </row>
    <row r="4" spans="1:16">
      <c r="A4" s="1">
        <f t="shared" ref="A4:A66" si="7">A3+0.1</f>
        <v>0.30000000000000004</v>
      </c>
      <c r="B4" s="1">
        <v>0.14399999999999999</v>
      </c>
      <c r="C4" s="1">
        <v>0.23880000000000001</v>
      </c>
      <c r="D4" s="10"/>
      <c r="E4" s="9"/>
      <c r="F4" s="1">
        <f t="shared" si="1"/>
        <v>0.30000000000000004</v>
      </c>
      <c r="G4" s="1">
        <f t="shared" si="0"/>
        <v>0.10606601717798214</v>
      </c>
      <c r="H4" s="1">
        <f t="shared" si="2"/>
        <v>0.14399999999999999</v>
      </c>
      <c r="I4" s="1">
        <f t="shared" si="3"/>
        <v>0.14406030150753768</v>
      </c>
      <c r="J4" s="1">
        <f t="shared" si="4"/>
        <v>1.4322208922077839</v>
      </c>
      <c r="K4" s="1">
        <f t="shared" si="5"/>
        <v>4.8509644149718021</v>
      </c>
      <c r="L4" s="1"/>
      <c r="O4" s="1">
        <v>0.10606601717798214</v>
      </c>
      <c r="P4" s="1">
        <f t="shared" si="6"/>
        <v>0.77205496540564655</v>
      </c>
    </row>
    <row r="5" spans="1:16">
      <c r="A5" s="1">
        <f t="shared" si="7"/>
        <v>0.4</v>
      </c>
      <c r="B5" s="1">
        <v>0.14399999999999999</v>
      </c>
      <c r="C5" s="1">
        <v>0.2387</v>
      </c>
      <c r="D5" s="10"/>
      <c r="E5" s="9"/>
      <c r="F5" s="1">
        <f t="shared" si="1"/>
        <v>0.4</v>
      </c>
      <c r="G5" s="1">
        <f t="shared" si="0"/>
        <v>0.1414213562373095</v>
      </c>
      <c r="H5" s="1">
        <f t="shared" si="2"/>
        <v>0.14399999999999999</v>
      </c>
      <c r="I5" s="1">
        <f t="shared" si="3"/>
        <v>0.14412065354000836</v>
      </c>
      <c r="J5" s="1">
        <f t="shared" si="4"/>
        <v>1.4325854450242921</v>
      </c>
      <c r="K5" s="1">
        <f t="shared" si="5"/>
        <v>4.8505998621552937</v>
      </c>
      <c r="L5" s="1"/>
      <c r="O5" s="1">
        <v>0.1414213562373095</v>
      </c>
      <c r="P5" s="1">
        <f t="shared" si="6"/>
        <v>0.77199694502288119</v>
      </c>
    </row>
    <row r="6" spans="1:16">
      <c r="A6" s="1">
        <f t="shared" si="7"/>
        <v>0.5</v>
      </c>
      <c r="B6" s="1">
        <v>0.14419999999999999</v>
      </c>
      <c r="C6" s="1">
        <v>0.23860000000000001</v>
      </c>
      <c r="D6" s="10"/>
      <c r="E6" s="9"/>
      <c r="F6" s="1">
        <f t="shared" si="1"/>
        <v>0.5</v>
      </c>
      <c r="G6" s="1">
        <f t="shared" si="0"/>
        <v>0.17677669529663687</v>
      </c>
      <c r="H6" s="1">
        <f t="shared" si="2"/>
        <v>0.14419999999999999</v>
      </c>
      <c r="I6" s="1">
        <f t="shared" si="3"/>
        <v>0.144381307627829</v>
      </c>
      <c r="J6" s="1">
        <f t="shared" si="4"/>
        <v>1.4341596986747573</v>
      </c>
      <c r="K6" s="1">
        <f t="shared" si="5"/>
        <v>4.8490256085048289</v>
      </c>
      <c r="L6" s="1"/>
      <c r="O6" s="1">
        <v>0.17677669529663687</v>
      </c>
      <c r="P6" s="1">
        <f t="shared" si="6"/>
        <v>0.77174639477272922</v>
      </c>
    </row>
    <row r="7" spans="1:16">
      <c r="A7" s="1">
        <f t="shared" si="7"/>
        <v>0.6</v>
      </c>
      <c r="B7" s="1">
        <v>0.1444</v>
      </c>
      <c r="C7" s="1">
        <v>0.2387</v>
      </c>
      <c r="D7" s="10"/>
      <c r="E7" s="9"/>
      <c r="F7" s="1">
        <f t="shared" si="1"/>
        <v>0.6</v>
      </c>
      <c r="G7" s="1">
        <f t="shared" si="0"/>
        <v>0.21213203435596423</v>
      </c>
      <c r="H7" s="1">
        <f t="shared" si="2"/>
        <v>0.1444</v>
      </c>
      <c r="I7" s="1">
        <f t="shared" si="3"/>
        <v>0.14452098868873062</v>
      </c>
      <c r="J7" s="1">
        <f t="shared" si="4"/>
        <v>1.4350031798205269</v>
      </c>
      <c r="K7" s="1">
        <f t="shared" si="5"/>
        <v>4.8481821273590597</v>
      </c>
      <c r="L7" s="1"/>
      <c r="O7" s="1">
        <v>0.21213203435596423</v>
      </c>
      <c r="P7" s="1">
        <f t="shared" si="6"/>
        <v>0.77161215057897525</v>
      </c>
    </row>
    <row r="8" spans="1:16">
      <c r="A8" s="1">
        <f t="shared" si="7"/>
        <v>0.7</v>
      </c>
      <c r="B8" s="1">
        <v>0.14460000000000001</v>
      </c>
      <c r="C8" s="1">
        <v>0.2384</v>
      </c>
      <c r="D8" s="10"/>
      <c r="E8" s="9"/>
      <c r="F8" s="1">
        <f t="shared" si="1"/>
        <v>0.7</v>
      </c>
      <c r="G8" s="1">
        <f t="shared" si="0"/>
        <v>0.24748737341529159</v>
      </c>
      <c r="H8" s="1">
        <f t="shared" si="2"/>
        <v>0.14460000000000001</v>
      </c>
      <c r="I8" s="1">
        <f t="shared" si="3"/>
        <v>0.14490327181208054</v>
      </c>
      <c r="J8" s="1">
        <f t="shared" si="4"/>
        <v>1.4373111479967537</v>
      </c>
      <c r="K8" s="1">
        <f t="shared" si="5"/>
        <v>4.8458741591828325</v>
      </c>
      <c r="L8" s="1"/>
      <c r="O8" s="1">
        <v>0.24748737341529159</v>
      </c>
      <c r="P8" s="1">
        <f t="shared" si="6"/>
        <v>0.77124482603522992</v>
      </c>
    </row>
    <row r="9" spans="1:16">
      <c r="A9" s="1">
        <f t="shared" si="7"/>
        <v>0.79999999999999993</v>
      </c>
      <c r="B9" s="1">
        <v>0.14499999999999999</v>
      </c>
      <c r="C9" s="1">
        <v>0.23849999999999999</v>
      </c>
      <c r="D9" s="10"/>
      <c r="E9" s="9"/>
      <c r="F9" s="1">
        <f t="shared" si="1"/>
        <v>0.79999999999999993</v>
      </c>
      <c r="G9" s="1">
        <f t="shared" si="0"/>
        <v>0.28284271247461895</v>
      </c>
      <c r="H9" s="1">
        <f t="shared" si="2"/>
        <v>0.14499999999999999</v>
      </c>
      <c r="I9" s="1">
        <f t="shared" si="3"/>
        <v>0.14524318658280921</v>
      </c>
      <c r="J9" s="1">
        <f t="shared" si="4"/>
        <v>1.439362723591006</v>
      </c>
      <c r="K9" s="1">
        <f t="shared" si="5"/>
        <v>4.8438225835885804</v>
      </c>
      <c r="L9" s="1"/>
      <c r="O9" s="1">
        <v>0.28284271247461895</v>
      </c>
      <c r="P9" s="1">
        <f t="shared" si="6"/>
        <v>0.77091830763827796</v>
      </c>
    </row>
    <row r="10" spans="1:16">
      <c r="A10" s="1">
        <f t="shared" si="7"/>
        <v>0.89999999999999991</v>
      </c>
      <c r="B10" s="1">
        <v>0.14530000000000001</v>
      </c>
      <c r="C10" s="1">
        <v>0.2382</v>
      </c>
      <c r="D10" s="10"/>
      <c r="E10" s="9"/>
      <c r="F10" s="1">
        <f t="shared" si="1"/>
        <v>0.89999999999999991</v>
      </c>
      <c r="G10" s="1">
        <f t="shared" si="0"/>
        <v>0.31819805153394631</v>
      </c>
      <c r="H10" s="1">
        <f t="shared" si="2"/>
        <v>0.14530000000000001</v>
      </c>
      <c r="I10" s="1">
        <f t="shared" si="3"/>
        <v>0.14572699412258608</v>
      </c>
      <c r="J10" s="1">
        <f t="shared" si="4"/>
        <v>1.4422818153565178</v>
      </c>
      <c r="K10" s="1">
        <f t="shared" si="5"/>
        <v>4.8409034918230684</v>
      </c>
      <c r="L10" s="1"/>
      <c r="O10" s="1">
        <v>0.31819805153394631</v>
      </c>
      <c r="P10" s="1">
        <f t="shared" si="6"/>
        <v>0.77045371975445787</v>
      </c>
    </row>
    <row r="11" spans="1:16">
      <c r="A11" s="1">
        <f t="shared" si="7"/>
        <v>0.99999999999999989</v>
      </c>
      <c r="B11" s="1">
        <v>0.14580000000000001</v>
      </c>
      <c r="C11" s="1">
        <v>0.23860000000000001</v>
      </c>
      <c r="D11" s="10"/>
      <c r="E11" s="9"/>
      <c r="F11" s="1">
        <f t="shared" si="1"/>
        <v>0.99999999999999989</v>
      </c>
      <c r="G11" s="1">
        <f t="shared" si="0"/>
        <v>0.35355339059327368</v>
      </c>
      <c r="H11" s="1">
        <f t="shared" si="2"/>
        <v>0.14580000000000001</v>
      </c>
      <c r="I11" s="1">
        <f t="shared" si="3"/>
        <v>0.14598331936295053</v>
      </c>
      <c r="J11" s="1">
        <f t="shared" si="4"/>
        <v>1.4438279266071941</v>
      </c>
      <c r="K11" s="1">
        <f t="shared" si="5"/>
        <v>4.839357380572392</v>
      </c>
      <c r="L11" s="1"/>
      <c r="O11" s="1">
        <v>0.35355339059327368</v>
      </c>
      <c r="P11" s="1">
        <f t="shared" si="6"/>
        <v>0.77020764850634271</v>
      </c>
    </row>
    <row r="12" spans="1:16">
      <c r="A12" s="1">
        <f t="shared" si="7"/>
        <v>1.0999999999999999</v>
      </c>
      <c r="B12" s="1">
        <v>0.1467</v>
      </c>
      <c r="C12" s="1">
        <v>0.23799999999999999</v>
      </c>
      <c r="D12" s="10"/>
      <c r="E12" s="9"/>
      <c r="F12" s="1">
        <f t="shared" si="1"/>
        <v>1.0999999999999999</v>
      </c>
      <c r="G12" s="1">
        <f t="shared" si="0"/>
        <v>0.38890872965260104</v>
      </c>
      <c r="H12" s="1">
        <f t="shared" si="2"/>
        <v>0.1467</v>
      </c>
      <c r="I12" s="1">
        <f t="shared" si="3"/>
        <v>0.14725474789915968</v>
      </c>
      <c r="J12" s="1">
        <f t="shared" si="4"/>
        <v>1.4514925377972707</v>
      </c>
      <c r="K12" s="1">
        <f t="shared" si="5"/>
        <v>4.8316927693823155</v>
      </c>
      <c r="L12" s="1"/>
      <c r="O12" s="1">
        <v>0.38890872965260104</v>
      </c>
      <c r="P12" s="1">
        <f t="shared" si="6"/>
        <v>0.76898778774856458</v>
      </c>
    </row>
    <row r="13" spans="1:16">
      <c r="A13" s="1">
        <f t="shared" si="7"/>
        <v>1.2</v>
      </c>
      <c r="B13" s="1">
        <v>0.14799999999999999</v>
      </c>
      <c r="C13" s="1">
        <v>0.23769999999999999</v>
      </c>
      <c r="D13" s="10"/>
      <c r="E13" s="9"/>
      <c r="F13" s="1">
        <f t="shared" si="1"/>
        <v>1.2</v>
      </c>
      <c r="G13" s="1">
        <f t="shared" si="0"/>
        <v>0.42426406871192845</v>
      </c>
      <c r="H13" s="1">
        <f t="shared" si="2"/>
        <v>0.14799999999999999</v>
      </c>
      <c r="I13" s="1">
        <f t="shared" si="3"/>
        <v>0.14874716028607488</v>
      </c>
      <c r="J13" s="1">
        <f t="shared" si="4"/>
        <v>1.4604803743058345</v>
      </c>
      <c r="K13" s="1">
        <f t="shared" si="5"/>
        <v>4.8227049328737515</v>
      </c>
      <c r="L13" s="1"/>
      <c r="O13" s="1">
        <v>0.42426406871192845</v>
      </c>
      <c r="P13" s="1">
        <f t="shared" si="6"/>
        <v>0.76755732914052488</v>
      </c>
    </row>
    <row r="14" spans="1:16">
      <c r="A14" s="1">
        <f t="shared" si="7"/>
        <v>1.3</v>
      </c>
      <c r="B14" s="1">
        <v>0.15010000000000001</v>
      </c>
      <c r="C14" s="1">
        <v>0.23699999999999999</v>
      </c>
      <c r="D14" s="10"/>
      <c r="E14" s="9"/>
      <c r="F14" s="1">
        <f t="shared" si="1"/>
        <v>1.3</v>
      </c>
      <c r="G14" s="1">
        <f t="shared" si="0"/>
        <v>0.45961940777125587</v>
      </c>
      <c r="H14" s="1">
        <f t="shared" si="2"/>
        <v>0.15010000000000001</v>
      </c>
      <c r="I14" s="1">
        <f t="shared" si="3"/>
        <v>0.15130333333333337</v>
      </c>
      <c r="J14" s="1">
        <f t="shared" si="4"/>
        <v>1.4758542005393558</v>
      </c>
      <c r="K14" s="1">
        <f t="shared" si="5"/>
        <v>4.8073311066402304</v>
      </c>
      <c r="L14" s="1"/>
      <c r="O14" s="1">
        <v>0.45961940777125587</v>
      </c>
      <c r="P14" s="1">
        <f t="shared" si="6"/>
        <v>0.7651105087012241</v>
      </c>
    </row>
    <row r="15" spans="1:16">
      <c r="A15" s="1">
        <f t="shared" si="7"/>
        <v>1.4000000000000001</v>
      </c>
      <c r="B15" s="1">
        <v>0.154</v>
      </c>
      <c r="C15" s="1">
        <v>0.2359</v>
      </c>
      <c r="D15" s="10"/>
      <c r="E15" s="9"/>
      <c r="F15" s="1">
        <f t="shared" si="1"/>
        <v>1.4000000000000001</v>
      </c>
      <c r="G15" s="1">
        <f t="shared" si="0"/>
        <v>0.49497474683058329</v>
      </c>
      <c r="H15" s="1">
        <f t="shared" si="2"/>
        <v>0.154</v>
      </c>
      <c r="I15" s="1">
        <f t="shared" si="3"/>
        <v>0.15595845697329377</v>
      </c>
      <c r="J15" s="1">
        <f t="shared" si="4"/>
        <v>1.5037968026758595</v>
      </c>
      <c r="K15" s="1">
        <f t="shared" si="5"/>
        <v>4.7793885045037268</v>
      </c>
      <c r="L15" s="1"/>
      <c r="O15" s="1">
        <v>0.49497474683058329</v>
      </c>
      <c r="P15" s="1">
        <f t="shared" si="6"/>
        <v>0.76066330544834937</v>
      </c>
    </row>
    <row r="16" spans="1:16">
      <c r="A16" s="1">
        <f t="shared" si="7"/>
        <v>1.5000000000000002</v>
      </c>
      <c r="B16" s="1">
        <v>0.16020000000000001</v>
      </c>
      <c r="C16" s="1">
        <v>0.23619999999999999</v>
      </c>
      <c r="D16" s="10"/>
      <c r="E16" s="9"/>
      <c r="F16" s="1">
        <f t="shared" si="1"/>
        <v>1.5000000000000002</v>
      </c>
      <c r="G16" s="1">
        <f t="shared" si="0"/>
        <v>0.53033008588991071</v>
      </c>
      <c r="H16" s="1">
        <f t="shared" si="2"/>
        <v>0.16020000000000001</v>
      </c>
      <c r="I16" s="1">
        <f t="shared" si="3"/>
        <v>0.16203124470787472</v>
      </c>
      <c r="J16" s="1">
        <f t="shared" si="4"/>
        <v>1.540173718305333</v>
      </c>
      <c r="K16" s="1">
        <f t="shared" si="5"/>
        <v>4.7430115888742534</v>
      </c>
      <c r="L16" s="1"/>
      <c r="O16" s="1">
        <v>0.53033008588991071</v>
      </c>
      <c r="P16" s="1">
        <f t="shared" si="6"/>
        <v>0.75487373951148196</v>
      </c>
    </row>
    <row r="17" spans="1:16">
      <c r="A17" s="1">
        <f t="shared" si="7"/>
        <v>1.6000000000000003</v>
      </c>
      <c r="B17" s="1">
        <v>0.16969999999999999</v>
      </c>
      <c r="C17" s="1">
        <v>0.23699999999999999</v>
      </c>
      <c r="D17" s="10"/>
      <c r="E17" s="9"/>
      <c r="F17" s="1">
        <f t="shared" si="1"/>
        <v>1.6000000000000003</v>
      </c>
      <c r="G17" s="1">
        <f t="shared" si="0"/>
        <v>0.56568542494923812</v>
      </c>
      <c r="H17" s="1">
        <f t="shared" si="2"/>
        <v>0.16969999999999999</v>
      </c>
      <c r="I17" s="1">
        <f t="shared" si="3"/>
        <v>0.1710604641350211</v>
      </c>
      <c r="J17" s="1">
        <f t="shared" si="4"/>
        <v>1.5941996316754548</v>
      </c>
      <c r="K17" s="1">
        <f t="shared" si="5"/>
        <v>4.6889856755041315</v>
      </c>
      <c r="L17" s="1"/>
      <c r="O17" s="1">
        <v>0.56568542494923812</v>
      </c>
      <c r="P17" s="1">
        <f t="shared" si="6"/>
        <v>0.74627524834357251</v>
      </c>
    </row>
    <row r="18" spans="1:16">
      <c r="A18" s="1">
        <f t="shared" si="7"/>
        <v>1.7000000000000004</v>
      </c>
      <c r="B18" s="1">
        <v>0.18310000000000001</v>
      </c>
      <c r="C18" s="1">
        <v>0.23710000000000001</v>
      </c>
      <c r="D18" s="10"/>
      <c r="E18" s="9"/>
      <c r="F18" s="1">
        <f t="shared" si="1"/>
        <v>1.7000000000000004</v>
      </c>
      <c r="G18" s="1">
        <f t="shared" si="0"/>
        <v>0.60104076400856554</v>
      </c>
      <c r="H18" s="1">
        <f t="shared" si="2"/>
        <v>0.18310000000000001</v>
      </c>
      <c r="I18" s="1">
        <f t="shared" si="3"/>
        <v>0.18449004639392663</v>
      </c>
      <c r="J18" s="1">
        <f t="shared" si="4"/>
        <v>1.6747294939919051</v>
      </c>
      <c r="K18" s="1">
        <f t="shared" si="5"/>
        <v>4.6084558131876809</v>
      </c>
      <c r="L18" s="1"/>
      <c r="O18" s="1">
        <v>0.60104076400856554</v>
      </c>
      <c r="P18" s="1">
        <f t="shared" si="6"/>
        <v>0.73345852268939959</v>
      </c>
    </row>
    <row r="19" spans="1:16">
      <c r="A19" s="1">
        <f t="shared" si="7"/>
        <v>1.8000000000000005</v>
      </c>
      <c r="B19" s="1">
        <v>0.19919999999999999</v>
      </c>
      <c r="C19" s="1">
        <v>0.2379</v>
      </c>
      <c r="D19" s="10"/>
      <c r="E19" s="9"/>
      <c r="F19" s="1">
        <f t="shared" si="1"/>
        <v>1.8000000000000005</v>
      </c>
      <c r="G19" s="1">
        <f t="shared" si="0"/>
        <v>0.63639610306789285</v>
      </c>
      <c r="H19" s="1">
        <f t="shared" si="2"/>
        <v>0.19919999999999999</v>
      </c>
      <c r="I19" s="1">
        <f t="shared" si="3"/>
        <v>0.20003732660781842</v>
      </c>
      <c r="J19" s="1">
        <f t="shared" si="4"/>
        <v>1.7688492179516457</v>
      </c>
      <c r="K19" s="1">
        <f t="shared" si="5"/>
        <v>4.5143360892279407</v>
      </c>
      <c r="L19" s="1"/>
      <c r="O19" s="1">
        <v>0.63639610306789285</v>
      </c>
      <c r="P19" s="1">
        <f t="shared" si="6"/>
        <v>0.7184789033787623</v>
      </c>
    </row>
    <row r="20" spans="1:16">
      <c r="A20" s="1">
        <f t="shared" si="7"/>
        <v>1.9000000000000006</v>
      </c>
      <c r="B20" s="1">
        <v>0.21690000000000001</v>
      </c>
      <c r="C20" s="1">
        <v>0.2366</v>
      </c>
      <c r="D20" s="10"/>
      <c r="E20" s="9"/>
      <c r="F20" s="1">
        <f t="shared" si="1"/>
        <v>1.9000000000000006</v>
      </c>
      <c r="G20" s="1">
        <f t="shared" si="0"/>
        <v>0.67175144212722027</v>
      </c>
      <c r="H20" s="1">
        <f t="shared" si="2"/>
        <v>0.21690000000000001</v>
      </c>
      <c r="I20" s="1">
        <f t="shared" si="3"/>
        <v>0.21900849535080305</v>
      </c>
      <c r="J20" s="1">
        <f t="shared" si="4"/>
        <v>1.8862620216118846</v>
      </c>
      <c r="K20" s="1">
        <f t="shared" si="5"/>
        <v>4.3969232855677021</v>
      </c>
      <c r="L20" s="1"/>
      <c r="O20" s="1">
        <v>0.67175144212722027</v>
      </c>
      <c r="P20" s="1">
        <f t="shared" si="6"/>
        <v>0.69979207529395715</v>
      </c>
    </row>
    <row r="21" spans="1:16">
      <c r="A21" s="1">
        <f t="shared" si="7"/>
        <v>2.0000000000000004</v>
      </c>
      <c r="B21" s="1">
        <v>0.23580000000000001</v>
      </c>
      <c r="C21" s="1">
        <v>0.23569999999999999</v>
      </c>
      <c r="D21" s="10"/>
      <c r="E21" s="9"/>
      <c r="F21" s="1">
        <f t="shared" si="1"/>
        <v>2.0000000000000004</v>
      </c>
      <c r="G21" s="1">
        <f t="shared" si="0"/>
        <v>0.70710678118654768</v>
      </c>
      <c r="H21" s="1">
        <f t="shared" si="2"/>
        <v>0.23580000000000001</v>
      </c>
      <c r="I21" s="1">
        <f t="shared" si="3"/>
        <v>0.2390013576580399</v>
      </c>
      <c r="J21" s="1">
        <f t="shared" si="4"/>
        <v>2.0151453943192581</v>
      </c>
      <c r="K21" s="1">
        <f t="shared" si="5"/>
        <v>4.2680399128603277</v>
      </c>
      <c r="L21" s="1"/>
      <c r="O21" s="1">
        <v>0.70710678118654768</v>
      </c>
      <c r="P21" s="1">
        <f t="shared" si="6"/>
        <v>0.67927964944522345</v>
      </c>
    </row>
    <row r="22" spans="1:16">
      <c r="A22" s="1">
        <f t="shared" si="7"/>
        <v>2.1000000000000005</v>
      </c>
      <c r="B22" s="1">
        <v>0.25390000000000001</v>
      </c>
      <c r="C22" s="1">
        <v>0.23549999999999999</v>
      </c>
      <c r="D22" s="10"/>
      <c r="E22" s="9"/>
      <c r="F22" s="1">
        <f t="shared" si="1"/>
        <v>2.1000000000000005</v>
      </c>
      <c r="G22" s="1">
        <f t="shared" si="0"/>
        <v>0.74246212024587499</v>
      </c>
      <c r="H22" s="1">
        <f t="shared" si="2"/>
        <v>0.25390000000000001</v>
      </c>
      <c r="I22" s="1">
        <f t="shared" si="3"/>
        <v>0.25756564755838646</v>
      </c>
      <c r="J22" s="1">
        <f t="shared" si="4"/>
        <v>2.142344228111468</v>
      </c>
      <c r="K22" s="1">
        <f t="shared" si="5"/>
        <v>4.1408410790681183</v>
      </c>
      <c r="L22" s="1"/>
      <c r="O22" s="1">
        <v>0.74246212024587499</v>
      </c>
      <c r="P22" s="1">
        <f t="shared" si="6"/>
        <v>0.65903532629166883</v>
      </c>
    </row>
    <row r="23" spans="1:16">
      <c r="A23" s="1">
        <f t="shared" si="7"/>
        <v>2.2000000000000006</v>
      </c>
      <c r="B23" s="1">
        <v>0.27089999999999997</v>
      </c>
      <c r="C23" s="1">
        <v>0.23549999999999999</v>
      </c>
      <c r="D23" s="10"/>
      <c r="E23" s="9"/>
      <c r="F23" s="1">
        <f t="shared" si="1"/>
        <v>2.2000000000000006</v>
      </c>
      <c r="G23" s="1">
        <f t="shared" si="0"/>
        <v>0.77781745930520241</v>
      </c>
      <c r="H23" s="1">
        <f t="shared" si="2"/>
        <v>0.27089999999999997</v>
      </c>
      <c r="I23" s="1">
        <f t="shared" si="3"/>
        <v>0.27481108280254773</v>
      </c>
      <c r="J23" s="1">
        <f t="shared" si="4"/>
        <v>2.2706537316749715</v>
      </c>
      <c r="K23" s="1">
        <f t="shared" si="5"/>
        <v>4.0125315755046147</v>
      </c>
      <c r="L23" s="1"/>
      <c r="O23" s="1">
        <v>0.77781745930520241</v>
      </c>
      <c r="P23" s="1">
        <f t="shared" si="6"/>
        <v>0.63861423455387012</v>
      </c>
    </row>
    <row r="24" spans="1:16">
      <c r="A24" s="1">
        <f t="shared" si="7"/>
        <v>2.3000000000000007</v>
      </c>
      <c r="B24" s="1">
        <v>0.28739999999999999</v>
      </c>
      <c r="C24" s="1">
        <v>0.23469999999999999</v>
      </c>
      <c r="D24" s="10"/>
      <c r="E24" s="9"/>
      <c r="F24" s="1">
        <f t="shared" si="1"/>
        <v>2.3000000000000007</v>
      </c>
      <c r="G24" s="1">
        <f t="shared" si="0"/>
        <v>0.81317279836452983</v>
      </c>
      <c r="H24" s="1">
        <f t="shared" si="2"/>
        <v>0.28739999999999999</v>
      </c>
      <c r="I24" s="1">
        <f t="shared" si="3"/>
        <v>0.29254307626757564</v>
      </c>
      <c r="J24" s="1">
        <f t="shared" si="4"/>
        <v>2.41915111965388</v>
      </c>
      <c r="K24" s="1">
        <f t="shared" si="5"/>
        <v>3.8640341875257063</v>
      </c>
      <c r="L24" s="1"/>
      <c r="O24" s="1">
        <v>0.81317279836452983</v>
      </c>
      <c r="P24" s="1">
        <f t="shared" si="6"/>
        <v>0.61498014122079181</v>
      </c>
    </row>
    <row r="25" spans="1:16">
      <c r="A25" s="1">
        <f t="shared" si="7"/>
        <v>2.4000000000000008</v>
      </c>
      <c r="B25" s="1">
        <v>0.29970000000000002</v>
      </c>
      <c r="C25" s="1">
        <v>0.23569999999999999</v>
      </c>
      <c r="D25" s="10"/>
      <c r="E25" s="9"/>
      <c r="F25" s="1">
        <f t="shared" si="1"/>
        <v>2.4000000000000008</v>
      </c>
      <c r="G25" s="1">
        <f t="shared" si="0"/>
        <v>0.84852813742385724</v>
      </c>
      <c r="H25" s="1">
        <f t="shared" si="2"/>
        <v>0.29970000000000002</v>
      </c>
      <c r="I25" s="1">
        <f t="shared" si="3"/>
        <v>0.30376890114552396</v>
      </c>
      <c r="J25" s="1">
        <f t="shared" si="4"/>
        <v>2.5275999026651803</v>
      </c>
      <c r="K25" s="1">
        <f t="shared" si="5"/>
        <v>3.7555854045144059</v>
      </c>
      <c r="L25" s="1"/>
      <c r="O25" s="1">
        <v>0.84852813742385724</v>
      </c>
      <c r="P25" s="1">
        <f t="shared" si="6"/>
        <v>0.59771998133224302</v>
      </c>
    </row>
    <row r="26" spans="1:16">
      <c r="A26" s="1">
        <f t="shared" si="7"/>
        <v>2.5000000000000009</v>
      </c>
      <c r="B26" s="1">
        <v>0.30930000000000002</v>
      </c>
      <c r="C26" s="1">
        <v>0.23749999999999999</v>
      </c>
      <c r="D26" s="10"/>
      <c r="E26" s="9"/>
      <c r="F26" s="1">
        <f t="shared" si="1"/>
        <v>2.5000000000000009</v>
      </c>
      <c r="G26" s="1">
        <f t="shared" si="0"/>
        <v>0.88388347648318466</v>
      </c>
      <c r="H26" s="1">
        <f t="shared" si="2"/>
        <v>0.30930000000000002</v>
      </c>
      <c r="I26" s="1">
        <f t="shared" si="3"/>
        <v>0.31112324210526321</v>
      </c>
      <c r="J26" s="1">
        <f t="shared" si="4"/>
        <v>2.6087231517644089</v>
      </c>
      <c r="K26" s="1">
        <f t="shared" si="5"/>
        <v>3.6744621554151773</v>
      </c>
      <c r="L26" s="1"/>
      <c r="O26" s="1">
        <v>0.88388347648318466</v>
      </c>
      <c r="P26" s="1">
        <f t="shared" si="6"/>
        <v>0.58480881523842565</v>
      </c>
    </row>
    <row r="27" spans="1:16">
      <c r="A27" s="1">
        <f t="shared" si="7"/>
        <v>2.600000000000001</v>
      </c>
      <c r="B27" s="1">
        <v>0.31790000000000002</v>
      </c>
      <c r="C27" s="1">
        <v>0.23649999999999999</v>
      </c>
      <c r="D27" s="10"/>
      <c r="E27" s="9"/>
      <c r="F27" s="1">
        <f t="shared" si="1"/>
        <v>2.600000000000001</v>
      </c>
      <c r="G27" s="1">
        <f t="shared" si="0"/>
        <v>0.91923881554251208</v>
      </c>
      <c r="H27" s="1">
        <f t="shared" si="2"/>
        <v>0.31790000000000002</v>
      </c>
      <c r="I27" s="1">
        <f t="shared" si="3"/>
        <v>0.32112604651162796</v>
      </c>
      <c r="J27" s="1">
        <f t="shared" si="4"/>
        <v>2.7419408613184926</v>
      </c>
      <c r="K27" s="1">
        <f t="shared" si="5"/>
        <v>3.5412444458610937</v>
      </c>
      <c r="L27" s="1"/>
      <c r="O27" s="1">
        <v>0.91923881554251208</v>
      </c>
      <c r="P27" s="1">
        <f t="shared" si="6"/>
        <v>0.56360655825551287</v>
      </c>
    </row>
    <row r="28" spans="1:16">
      <c r="A28" s="1">
        <f t="shared" si="7"/>
        <v>2.7000000000000011</v>
      </c>
      <c r="B28" s="1">
        <v>0.32469999999999999</v>
      </c>
      <c r="C28" s="1">
        <v>0.2369</v>
      </c>
      <c r="D28" s="1"/>
      <c r="E28" s="9"/>
      <c r="F28" s="1">
        <f t="shared" si="1"/>
        <v>2.7000000000000011</v>
      </c>
      <c r="G28" s="1">
        <f t="shared" si="0"/>
        <v>0.9545941546018395</v>
      </c>
      <c r="H28" s="1">
        <f t="shared" si="2"/>
        <v>0.32469999999999999</v>
      </c>
      <c r="I28" s="1">
        <f t="shared" si="3"/>
        <v>0.32744124102997041</v>
      </c>
      <c r="J28" s="1">
        <f t="shared" si="4"/>
        <v>2.8541723885303227</v>
      </c>
      <c r="K28" s="1">
        <f t="shared" si="5"/>
        <v>3.4290129186492635</v>
      </c>
      <c r="L28" s="1"/>
      <c r="O28" s="1">
        <v>0.9545941546018395</v>
      </c>
      <c r="P28" s="1">
        <f t="shared" si="6"/>
        <v>0.5457443559289975</v>
      </c>
    </row>
    <row r="29" spans="1:16">
      <c r="A29" s="1">
        <f t="shared" si="7"/>
        <v>2.8000000000000012</v>
      </c>
      <c r="B29" s="1">
        <v>0.32769999999999999</v>
      </c>
      <c r="C29" s="1">
        <v>0.23719999999999999</v>
      </c>
      <c r="D29" s="1"/>
      <c r="E29" s="9"/>
      <c r="F29" s="1">
        <f t="shared" si="1"/>
        <v>2.8000000000000012</v>
      </c>
      <c r="G29" s="1">
        <f t="shared" si="0"/>
        <v>0.98994949366116691</v>
      </c>
      <c r="H29" s="1">
        <f t="shared" si="2"/>
        <v>0.32769999999999999</v>
      </c>
      <c r="I29" s="1">
        <f t="shared" si="3"/>
        <v>0.3300486087689713</v>
      </c>
      <c r="J29" s="1">
        <f t="shared" si="4"/>
        <v>2.9156235288324668</v>
      </c>
      <c r="K29" s="1">
        <f t="shared" si="5"/>
        <v>3.3675617783471194</v>
      </c>
      <c r="L29" s="1"/>
      <c r="O29" s="1">
        <v>0.98994949366116691</v>
      </c>
      <c r="P29" s="1">
        <f t="shared" si="6"/>
        <v>0.53596410319127763</v>
      </c>
    </row>
    <row r="30" spans="1:16">
      <c r="A30" s="1">
        <f t="shared" si="7"/>
        <v>2.9000000000000012</v>
      </c>
      <c r="B30" s="1">
        <v>0.3301</v>
      </c>
      <c r="C30" s="1">
        <v>0.2359</v>
      </c>
      <c r="D30" s="1"/>
      <c r="E30" s="9"/>
      <c r="F30" s="1">
        <f t="shared" si="1"/>
        <v>2.9000000000000012</v>
      </c>
      <c r="G30" s="1">
        <f t="shared" si="0"/>
        <v>1.0253048327204943</v>
      </c>
      <c r="H30" s="1">
        <f t="shared" si="2"/>
        <v>0.3301</v>
      </c>
      <c r="I30" s="1">
        <f t="shared" si="3"/>
        <v>0.33429796523950828</v>
      </c>
      <c r="J30" s="1">
        <f t="shared" si="4"/>
        <v>3.1415926535897931</v>
      </c>
      <c r="K30" s="1">
        <f t="shared" si="5"/>
        <v>3.1415926535897931</v>
      </c>
      <c r="L30" s="1"/>
      <c r="O30" s="1">
        <v>1.0253048327204943</v>
      </c>
      <c r="P30" s="1">
        <f t="shared" si="6"/>
        <v>0.5</v>
      </c>
    </row>
    <row r="31" spans="1:16">
      <c r="A31" s="1">
        <f t="shared" si="7"/>
        <v>3.0000000000000013</v>
      </c>
      <c r="B31" s="1">
        <v>0.3286</v>
      </c>
      <c r="C31" s="1">
        <v>0.2359</v>
      </c>
      <c r="D31" s="1"/>
      <c r="E31" s="9"/>
      <c r="F31" s="1">
        <f t="shared" si="1"/>
        <v>3.0000000000000013</v>
      </c>
      <c r="G31" s="1">
        <f t="shared" si="0"/>
        <v>1.0606601717798216</v>
      </c>
      <c r="H31" s="1">
        <f t="shared" si="2"/>
        <v>0.3286</v>
      </c>
      <c r="I31" s="1">
        <f t="shared" si="3"/>
        <v>0.33277888935989824</v>
      </c>
      <c r="J31" s="1">
        <f t="shared" si="4"/>
        <v>3.0066707923200182</v>
      </c>
      <c r="K31" s="1">
        <f t="shared" si="5"/>
        <v>3.276514514859568</v>
      </c>
      <c r="L31" s="1"/>
      <c r="O31" s="1">
        <v>1.0606601717798216</v>
      </c>
      <c r="P31" s="1">
        <f t="shared" si="6"/>
        <v>0.52147348115224357</v>
      </c>
    </row>
    <row r="32" spans="1:16">
      <c r="A32" s="1">
        <f t="shared" si="7"/>
        <v>3.1000000000000014</v>
      </c>
      <c r="B32" s="1">
        <v>0.32350000000000001</v>
      </c>
      <c r="C32" s="1">
        <v>0.23849999999999999</v>
      </c>
      <c r="D32" s="1"/>
      <c r="E32" s="9"/>
      <c r="F32" s="1">
        <f t="shared" si="1"/>
        <v>3.1000000000000014</v>
      </c>
      <c r="G32" s="1">
        <f t="shared" si="0"/>
        <v>1.0960155108391492</v>
      </c>
      <c r="H32" s="1">
        <f t="shared" si="2"/>
        <v>0.32350000000000001</v>
      </c>
      <c r="I32" s="1">
        <f t="shared" si="3"/>
        <v>0.32404255765199164</v>
      </c>
      <c r="J32" s="1">
        <f t="shared" si="4"/>
        <v>2.7894768580113296</v>
      </c>
      <c r="K32" s="1">
        <f t="shared" si="5"/>
        <v>3.4937084491682566</v>
      </c>
      <c r="L32" s="1"/>
      <c r="O32" s="1">
        <v>1.0960155108391492</v>
      </c>
      <c r="P32" s="1">
        <f t="shared" si="6"/>
        <v>0.55604096940704784</v>
      </c>
    </row>
    <row r="33" spans="1:16">
      <c r="A33" s="1">
        <f t="shared" si="7"/>
        <v>3.2000000000000015</v>
      </c>
      <c r="B33" s="1">
        <v>0.31830000000000003</v>
      </c>
      <c r="C33" s="1">
        <v>0.2382</v>
      </c>
      <c r="D33" s="1"/>
      <c r="E33" s="9"/>
      <c r="F33" s="1">
        <f t="shared" si="1"/>
        <v>3.2000000000000015</v>
      </c>
      <c r="G33" s="1">
        <f t="shared" si="0"/>
        <v>1.1313708498984765</v>
      </c>
      <c r="H33" s="1">
        <f t="shared" si="2"/>
        <v>0.31830000000000003</v>
      </c>
      <c r="I33" s="1">
        <f t="shared" si="3"/>
        <v>0.31923539042821164</v>
      </c>
      <c r="J33" s="1">
        <f t="shared" si="4"/>
        <v>2.7138039068309832</v>
      </c>
      <c r="K33" s="1">
        <f t="shared" si="5"/>
        <v>3.5693814003486031</v>
      </c>
      <c r="L33" s="1"/>
      <c r="O33" s="1">
        <v>1.1313708498984765</v>
      </c>
      <c r="P33" s="1">
        <f t="shared" si="6"/>
        <v>0.56808469364575165</v>
      </c>
    </row>
    <row r="34" spans="1:16">
      <c r="A34" s="1">
        <f t="shared" si="7"/>
        <v>3.3000000000000016</v>
      </c>
      <c r="B34" s="1">
        <v>0.31159999999999999</v>
      </c>
      <c r="C34" s="1">
        <v>0.2379</v>
      </c>
      <c r="D34" s="1"/>
      <c r="E34" s="9"/>
      <c r="F34" s="1">
        <f t="shared" si="1"/>
        <v>3.3000000000000016</v>
      </c>
      <c r="G34" s="1">
        <f t="shared" si="0"/>
        <v>1.166726188957804</v>
      </c>
      <c r="H34" s="1">
        <f t="shared" si="2"/>
        <v>0.31159999999999999</v>
      </c>
      <c r="I34" s="1">
        <f t="shared" si="3"/>
        <v>0.31290979403110547</v>
      </c>
      <c r="J34" s="1">
        <f t="shared" si="4"/>
        <v>2.6301539697516794</v>
      </c>
      <c r="K34" s="1">
        <f t="shared" si="5"/>
        <v>3.6530313374279069</v>
      </c>
      <c r="L34" s="1"/>
      <c r="O34" s="1">
        <v>1.166726188957804</v>
      </c>
      <c r="P34" s="1">
        <f t="shared" si="6"/>
        <v>0.58139799462124886</v>
      </c>
    </row>
    <row r="35" spans="1:16">
      <c r="A35" s="1">
        <f t="shared" si="7"/>
        <v>3.4000000000000017</v>
      </c>
      <c r="B35" s="1">
        <v>0.30349999999999999</v>
      </c>
      <c r="C35" s="1">
        <v>0.23730000000000001</v>
      </c>
      <c r="D35" s="1"/>
      <c r="E35" s="9"/>
      <c r="F35" s="1">
        <f t="shared" si="1"/>
        <v>3.4000000000000017</v>
      </c>
      <c r="G35" s="1">
        <f t="shared" si="0"/>
        <v>1.2020815280171313</v>
      </c>
      <c r="H35" s="1">
        <f t="shared" si="2"/>
        <v>0.30349999999999999</v>
      </c>
      <c r="I35" s="1">
        <f t="shared" si="3"/>
        <v>0.30554635482511588</v>
      </c>
      <c r="J35" s="1">
        <f t="shared" si="4"/>
        <v>2.5463065866836878</v>
      </c>
      <c r="K35" s="1">
        <f t="shared" si="5"/>
        <v>3.7368787204958984</v>
      </c>
      <c r="L35" s="1"/>
      <c r="O35" s="1">
        <v>1.2020815280171313</v>
      </c>
      <c r="P35" s="1">
        <f t="shared" si="6"/>
        <v>0.59474272010183937</v>
      </c>
    </row>
    <row r="36" spans="1:16">
      <c r="A36" s="1">
        <f t="shared" si="7"/>
        <v>3.5000000000000018</v>
      </c>
      <c r="B36" s="1">
        <v>0.29430000000000001</v>
      </c>
      <c r="C36" s="1">
        <v>0.23730000000000001</v>
      </c>
      <c r="D36" s="1"/>
      <c r="E36" s="9"/>
      <c r="F36" s="1">
        <f t="shared" si="1"/>
        <v>3.5000000000000018</v>
      </c>
      <c r="G36" s="1">
        <f t="shared" si="0"/>
        <v>1.2374368670764586</v>
      </c>
      <c r="H36" s="1">
        <f t="shared" si="2"/>
        <v>0.29430000000000001</v>
      </c>
      <c r="I36" s="1">
        <f t="shared" si="3"/>
        <v>0.2962843236409608</v>
      </c>
      <c r="J36" s="1">
        <f t="shared" si="4"/>
        <v>2.4536851713860974</v>
      </c>
      <c r="K36" s="1">
        <f t="shared" si="5"/>
        <v>3.8295001357934888</v>
      </c>
      <c r="L36" s="1"/>
      <c r="O36" s="1">
        <v>1.2374368670764586</v>
      </c>
      <c r="P36" s="1">
        <f t="shared" si="6"/>
        <v>0.60948387618261823</v>
      </c>
    </row>
    <row r="37" spans="1:16">
      <c r="A37" s="1">
        <f t="shared" si="7"/>
        <v>3.6000000000000019</v>
      </c>
      <c r="B37" s="1">
        <v>0.28399999999999997</v>
      </c>
      <c r="C37" s="1">
        <v>0.23749999999999999</v>
      </c>
      <c r="D37" s="1"/>
      <c r="E37" s="9"/>
      <c r="F37" s="1">
        <f t="shared" si="1"/>
        <v>3.6000000000000019</v>
      </c>
      <c r="G37" s="1">
        <f t="shared" si="0"/>
        <v>1.2727922061357861</v>
      </c>
      <c r="H37" s="1">
        <f t="shared" si="2"/>
        <v>0.28399999999999997</v>
      </c>
      <c r="I37" s="1">
        <f t="shared" si="3"/>
        <v>0.2856741052631579</v>
      </c>
      <c r="J37" s="1">
        <f t="shared" si="4"/>
        <v>2.3590154406275818</v>
      </c>
      <c r="K37" s="1">
        <f t="shared" si="5"/>
        <v>3.9241698665520044</v>
      </c>
      <c r="L37" s="1"/>
      <c r="O37" s="1">
        <v>1.2727922061357861</v>
      </c>
      <c r="P37" s="1">
        <f t="shared" si="6"/>
        <v>0.62455103179401483</v>
      </c>
    </row>
    <row r="38" spans="1:16">
      <c r="A38" s="1">
        <f t="shared" si="7"/>
        <v>3.700000000000002</v>
      </c>
      <c r="B38" s="1">
        <v>0.27339999999999998</v>
      </c>
      <c r="C38" s="1">
        <v>0.2374</v>
      </c>
      <c r="D38" s="1"/>
      <c r="E38" s="9"/>
      <c r="F38" s="1">
        <f t="shared" si="1"/>
        <v>3.700000000000002</v>
      </c>
      <c r="G38" s="1">
        <f t="shared" si="0"/>
        <v>1.3081475451951134</v>
      </c>
      <c r="H38" s="1">
        <f t="shared" si="2"/>
        <v>0.27339999999999998</v>
      </c>
      <c r="I38" s="1">
        <f t="shared" si="3"/>
        <v>0.2751274641954507</v>
      </c>
      <c r="J38" s="1">
        <f t="shared" si="4"/>
        <v>2.2731307933109681</v>
      </c>
      <c r="K38" s="1">
        <f t="shared" si="5"/>
        <v>4.0100545138686181</v>
      </c>
      <c r="L38" s="1"/>
      <c r="O38" s="1">
        <v>1.3081475451951134</v>
      </c>
      <c r="P38" s="1">
        <f t="shared" si="6"/>
        <v>0.63821999795015794</v>
      </c>
    </row>
    <row r="39" spans="1:16">
      <c r="A39" s="1">
        <f t="shared" si="7"/>
        <v>3.800000000000002</v>
      </c>
      <c r="B39" s="1">
        <v>0.2621</v>
      </c>
      <c r="C39" s="1">
        <v>0.23699999999999999</v>
      </c>
      <c r="D39" s="1"/>
      <c r="E39" s="9"/>
      <c r="F39" s="1">
        <f t="shared" si="1"/>
        <v>3.800000000000002</v>
      </c>
      <c r="G39" s="1">
        <f t="shared" si="0"/>
        <v>1.343502884254441</v>
      </c>
      <c r="H39" s="1">
        <f t="shared" si="2"/>
        <v>0.2621</v>
      </c>
      <c r="I39" s="1">
        <f t="shared" si="3"/>
        <v>0.26420122362869203</v>
      </c>
      <c r="J39" s="1">
        <f t="shared" si="4"/>
        <v>2.1903024748670021</v>
      </c>
      <c r="K39" s="1">
        <f t="shared" si="5"/>
        <v>4.0928828323125845</v>
      </c>
      <c r="L39" s="1"/>
      <c r="O39" s="1">
        <v>1.343502884254441</v>
      </c>
      <c r="P39" s="1">
        <f t="shared" si="6"/>
        <v>0.65140253425850481</v>
      </c>
    </row>
    <row r="40" spans="1:16">
      <c r="A40" s="1">
        <f t="shared" si="7"/>
        <v>3.9000000000000021</v>
      </c>
      <c r="B40" s="1">
        <v>0.25119999999999998</v>
      </c>
      <c r="C40" s="1">
        <v>0.23649999999999999</v>
      </c>
      <c r="D40" s="1"/>
      <c r="E40" s="9"/>
      <c r="F40" s="1">
        <f t="shared" si="1"/>
        <v>3.9000000000000021</v>
      </c>
      <c r="G40" s="1">
        <f t="shared" si="0"/>
        <v>1.3788582233137683</v>
      </c>
      <c r="H40" s="1">
        <f t="shared" si="2"/>
        <v>0.25119999999999998</v>
      </c>
      <c r="I40" s="1">
        <f t="shared" si="3"/>
        <v>0.25374917547568709</v>
      </c>
      <c r="J40" s="1">
        <f t="shared" si="4"/>
        <v>2.1154265215240384</v>
      </c>
      <c r="K40" s="1">
        <f t="shared" si="5"/>
        <v>4.1677587856555478</v>
      </c>
      <c r="L40" s="1"/>
      <c r="O40" s="1">
        <v>1.3788582233137683</v>
      </c>
      <c r="P40" s="1">
        <f t="shared" si="6"/>
        <v>0.66331941235175551</v>
      </c>
    </row>
    <row r="41" spans="1:16">
      <c r="A41" s="1">
        <f t="shared" si="7"/>
        <v>4.0000000000000018</v>
      </c>
      <c r="B41" s="1">
        <v>0.2397</v>
      </c>
      <c r="C41" s="1">
        <v>0.2374</v>
      </c>
      <c r="D41" s="1"/>
      <c r="E41" s="9"/>
      <c r="F41" s="1">
        <f t="shared" si="1"/>
        <v>4.0000000000000018</v>
      </c>
      <c r="G41" s="1">
        <f t="shared" si="0"/>
        <v>1.4142135623730956</v>
      </c>
      <c r="H41" s="1">
        <f t="shared" si="2"/>
        <v>0.2397</v>
      </c>
      <c r="I41" s="1">
        <f t="shared" si="3"/>
        <v>0.24121453243470936</v>
      </c>
      <c r="J41" s="1">
        <f t="shared" si="4"/>
        <v>2.0298623061607834</v>
      </c>
      <c r="K41" s="1">
        <f t="shared" si="5"/>
        <v>4.2533230010188028</v>
      </c>
      <c r="L41" s="1"/>
      <c r="O41" s="1">
        <v>1.4142135623730956</v>
      </c>
      <c r="P41" s="1">
        <f t="shared" si="6"/>
        <v>0.67693738017859706</v>
      </c>
    </row>
    <row r="42" spans="1:16">
      <c r="A42" s="1">
        <f t="shared" si="7"/>
        <v>4.1000000000000014</v>
      </c>
      <c r="B42" s="1">
        <v>0.2288</v>
      </c>
      <c r="C42" s="1">
        <v>0.23710000000000001</v>
      </c>
      <c r="D42" s="1"/>
      <c r="E42" s="9"/>
      <c r="F42" s="1">
        <f t="shared" si="1"/>
        <v>4.1000000000000014</v>
      </c>
      <c r="G42" s="1">
        <f t="shared" si="0"/>
        <v>1.4495689014324229</v>
      </c>
      <c r="H42" s="1">
        <f t="shared" si="2"/>
        <v>0.2288</v>
      </c>
      <c r="I42" s="1">
        <f t="shared" si="3"/>
        <v>0.23053698861239982</v>
      </c>
      <c r="J42" s="1">
        <f t="shared" si="4"/>
        <v>1.9597609500684845</v>
      </c>
      <c r="K42" s="1">
        <f t="shared" si="5"/>
        <v>4.3234243571111017</v>
      </c>
      <c r="L42" s="1"/>
      <c r="O42" s="1">
        <v>1.4495689014324229</v>
      </c>
      <c r="P42" s="1">
        <f t="shared" si="6"/>
        <v>0.68809435751813164</v>
      </c>
    </row>
    <row r="43" spans="1:16">
      <c r="A43" s="1">
        <f t="shared" si="7"/>
        <v>4.2000000000000011</v>
      </c>
      <c r="B43" s="1">
        <v>0.21840000000000001</v>
      </c>
      <c r="C43" s="1">
        <v>0.23680000000000001</v>
      </c>
      <c r="D43" s="1"/>
      <c r="E43" s="9"/>
      <c r="F43" s="1">
        <f t="shared" si="1"/>
        <v>4.2000000000000011</v>
      </c>
      <c r="G43" s="1">
        <f t="shared" si="0"/>
        <v>1.48492424049175</v>
      </c>
      <c r="H43" s="1">
        <f t="shared" si="2"/>
        <v>0.21840000000000001</v>
      </c>
      <c r="I43" s="1">
        <f t="shared" si="3"/>
        <v>0.22033682432432433</v>
      </c>
      <c r="J43" s="1">
        <f t="shared" si="4"/>
        <v>1.8946330549824379</v>
      </c>
      <c r="K43" s="1">
        <f t="shared" si="5"/>
        <v>4.3885522521971483</v>
      </c>
      <c r="L43" s="1"/>
      <c r="O43" s="1">
        <v>1.48492424049175</v>
      </c>
      <c r="P43" s="1">
        <f t="shared" si="6"/>
        <v>0.69845978395424624</v>
      </c>
    </row>
    <row r="44" spans="1:16">
      <c r="A44" s="1">
        <f t="shared" si="7"/>
        <v>4.3000000000000007</v>
      </c>
      <c r="B44" s="1">
        <v>0.20760000000000001</v>
      </c>
      <c r="C44" s="1">
        <v>0.23730000000000001</v>
      </c>
      <c r="D44" s="1"/>
      <c r="E44" s="9"/>
      <c r="F44" s="1">
        <f t="shared" si="1"/>
        <v>4.3000000000000007</v>
      </c>
      <c r="G44" s="1">
        <f t="shared" si="0"/>
        <v>1.5202795795510773</v>
      </c>
      <c r="H44" s="1">
        <f t="shared" si="2"/>
        <v>0.20760000000000001</v>
      </c>
      <c r="I44" s="1">
        <f t="shared" si="3"/>
        <v>0.20899974715549938</v>
      </c>
      <c r="J44" s="1">
        <f t="shared" ref="J44:J75" si="8">ACOS(1-2*(I44/MAX(I$3:I$111)))</f>
        <v>1.8238690781577511</v>
      </c>
      <c r="K44" s="1">
        <f t="shared" si="5"/>
        <v>4.4593162290218356</v>
      </c>
      <c r="L44" s="1"/>
      <c r="O44" s="1">
        <v>1.5202795795510773</v>
      </c>
      <c r="P44" s="1">
        <f t="shared" si="6"/>
        <v>0.70972222065873558</v>
      </c>
    </row>
    <row r="45" spans="1:16">
      <c r="A45" s="1">
        <f t="shared" si="7"/>
        <v>4.4000000000000004</v>
      </c>
      <c r="B45" s="1">
        <v>0.19750000000000001</v>
      </c>
      <c r="C45" s="1">
        <v>0.23730000000000001</v>
      </c>
      <c r="D45" s="1"/>
      <c r="E45" s="9"/>
      <c r="F45" s="1">
        <f t="shared" si="1"/>
        <v>4.4000000000000004</v>
      </c>
      <c r="G45" s="1">
        <f t="shared" si="0"/>
        <v>1.5556349186104046</v>
      </c>
      <c r="H45" s="1">
        <f t="shared" si="2"/>
        <v>0.19750000000000001</v>
      </c>
      <c r="I45" s="1">
        <f t="shared" si="3"/>
        <v>0.19883164770332912</v>
      </c>
      <c r="J45" s="1">
        <f t="shared" si="8"/>
        <v>1.7614975574080665</v>
      </c>
      <c r="K45" s="1">
        <f t="shared" si="5"/>
        <v>4.5216877497715195</v>
      </c>
      <c r="L45" s="1"/>
      <c r="O45" s="1">
        <v>1.5556349186104046</v>
      </c>
      <c r="P45" s="1">
        <f t="shared" si="6"/>
        <v>0.71964895649420646</v>
      </c>
    </row>
    <row r="46" spans="1:16">
      <c r="A46" s="1">
        <f t="shared" si="7"/>
        <v>4.5</v>
      </c>
      <c r="B46" s="1">
        <v>0.18770000000000001</v>
      </c>
      <c r="C46" s="1">
        <v>0.23749999999999999</v>
      </c>
      <c r="D46" s="1"/>
      <c r="E46" s="9"/>
      <c r="F46" s="1">
        <f t="shared" si="1"/>
        <v>4.5</v>
      </c>
      <c r="G46" s="1">
        <f t="shared" si="0"/>
        <v>1.5909902576697319</v>
      </c>
      <c r="H46" s="1">
        <f t="shared" si="2"/>
        <v>0.18770000000000001</v>
      </c>
      <c r="I46" s="1">
        <f t="shared" si="3"/>
        <v>0.18880644210526318</v>
      </c>
      <c r="J46" s="1">
        <f t="shared" si="8"/>
        <v>1.7007314322982499</v>
      </c>
      <c r="K46" s="1">
        <f t="shared" si="5"/>
        <v>4.5824538748813364</v>
      </c>
      <c r="L46" s="1"/>
      <c r="O46" s="1">
        <v>1.5909902576697319</v>
      </c>
      <c r="P46" s="1">
        <f t="shared" si="6"/>
        <v>0.72932018567797441</v>
      </c>
    </row>
    <row r="47" spans="1:16">
      <c r="A47" s="1">
        <f t="shared" si="7"/>
        <v>4.5999999999999996</v>
      </c>
      <c r="B47" s="1">
        <v>0.17860000000000001</v>
      </c>
      <c r="C47" s="1">
        <v>0.2374</v>
      </c>
      <c r="D47" s="1"/>
      <c r="E47" s="9"/>
      <c r="F47" s="1">
        <f t="shared" si="1"/>
        <v>4.5999999999999996</v>
      </c>
      <c r="G47" s="1">
        <f t="shared" si="0"/>
        <v>1.626345596729059</v>
      </c>
      <c r="H47" s="1">
        <f t="shared" si="2"/>
        <v>0.17860000000000001</v>
      </c>
      <c r="I47" s="1">
        <f t="shared" si="3"/>
        <v>0.17972847514743051</v>
      </c>
      <c r="J47" s="1">
        <f t="shared" si="8"/>
        <v>1.646126715396621</v>
      </c>
      <c r="K47" s="1">
        <f t="shared" si="5"/>
        <v>4.6370585917829654</v>
      </c>
      <c r="L47" s="1"/>
      <c r="O47" s="1">
        <v>1.626345596729059</v>
      </c>
      <c r="P47" s="1">
        <f t="shared" si="6"/>
        <v>0.73801079628900224</v>
      </c>
    </row>
    <row r="48" spans="1:16">
      <c r="A48" s="1">
        <f t="shared" si="7"/>
        <v>4.6999999999999993</v>
      </c>
      <c r="B48" s="1">
        <v>0.16980000000000001</v>
      </c>
      <c r="C48" s="1">
        <v>0.2374</v>
      </c>
      <c r="D48" s="1"/>
      <c r="E48" s="9"/>
      <c r="F48" s="1">
        <f t="shared" si="1"/>
        <v>4.6999999999999993</v>
      </c>
      <c r="G48" s="1">
        <f t="shared" si="0"/>
        <v>1.6617009357883863</v>
      </c>
      <c r="H48" s="1">
        <f t="shared" si="2"/>
        <v>0.16980000000000001</v>
      </c>
      <c r="I48" s="1">
        <f t="shared" si="3"/>
        <v>0.17087287278854255</v>
      </c>
      <c r="J48" s="1">
        <f t="shared" si="8"/>
        <v>1.5930770385096864</v>
      </c>
      <c r="K48" s="1">
        <f t="shared" si="5"/>
        <v>4.6901082686699</v>
      </c>
      <c r="L48" s="1"/>
      <c r="O48" s="1">
        <v>1.6617009357883863</v>
      </c>
      <c r="P48" s="1">
        <f t="shared" si="6"/>
        <v>0.74645391459498578</v>
      </c>
    </row>
    <row r="49" spans="1:16">
      <c r="A49" s="1">
        <f t="shared" si="7"/>
        <v>4.7999999999999989</v>
      </c>
      <c r="B49" s="1">
        <v>0.16159999999999999</v>
      </c>
      <c r="C49" s="1">
        <v>0.23730000000000001</v>
      </c>
      <c r="D49" s="1"/>
      <c r="E49" s="9"/>
      <c r="F49" s="1">
        <f t="shared" si="1"/>
        <v>4.7999999999999989</v>
      </c>
      <c r="G49" s="1">
        <f t="shared" si="0"/>
        <v>1.6970562748477136</v>
      </c>
      <c r="H49" s="1">
        <f t="shared" si="2"/>
        <v>0.16159999999999999</v>
      </c>
      <c r="I49" s="1">
        <f t="shared" si="3"/>
        <v>0.16268959123472396</v>
      </c>
      <c r="J49" s="1">
        <f t="shared" si="8"/>
        <v>1.5441140191929188</v>
      </c>
      <c r="K49" s="1">
        <f t="shared" si="5"/>
        <v>4.7390712879866674</v>
      </c>
      <c r="L49" s="1"/>
      <c r="O49" s="1">
        <v>1.6970562748477136</v>
      </c>
      <c r="P49" s="1">
        <f t="shared" si="6"/>
        <v>0.75424662114795327</v>
      </c>
    </row>
    <row r="50" spans="1:16">
      <c r="A50" s="1">
        <f t="shared" si="7"/>
        <v>4.8999999999999986</v>
      </c>
      <c r="B50" s="1">
        <v>0.15390000000000001</v>
      </c>
      <c r="C50" s="1">
        <v>0.23730000000000001</v>
      </c>
      <c r="D50" s="1"/>
      <c r="E50" s="9"/>
      <c r="F50" s="1">
        <f t="shared" si="1"/>
        <v>4.8999999999999986</v>
      </c>
      <c r="G50" s="1">
        <f t="shared" si="0"/>
        <v>1.7324116139070409</v>
      </c>
      <c r="H50" s="1">
        <f t="shared" si="2"/>
        <v>0.15390000000000001</v>
      </c>
      <c r="I50" s="1">
        <f t="shared" si="3"/>
        <v>0.15493767383059417</v>
      </c>
      <c r="J50" s="1">
        <f t="shared" si="8"/>
        <v>1.4976747485304314</v>
      </c>
      <c r="K50" s="1">
        <f t="shared" si="5"/>
        <v>4.7855105586491549</v>
      </c>
      <c r="L50" s="1"/>
      <c r="O50" s="1">
        <v>1.7324116139070409</v>
      </c>
      <c r="P50" s="1">
        <f t="shared" si="6"/>
        <v>0.76163766062747051</v>
      </c>
    </row>
    <row r="51" spans="1:16">
      <c r="A51" s="1">
        <f t="shared" si="7"/>
        <v>4.9999999999999982</v>
      </c>
      <c r="B51" s="1">
        <v>0.14699999999999999</v>
      </c>
      <c r="C51" s="1">
        <v>0.23649999999999999</v>
      </c>
      <c r="D51" s="1"/>
      <c r="E51" s="9"/>
      <c r="F51" s="1">
        <f t="shared" si="1"/>
        <v>4.9999999999999982</v>
      </c>
      <c r="G51" s="1">
        <f t="shared" si="0"/>
        <v>1.767766952966368</v>
      </c>
      <c r="H51" s="1">
        <f t="shared" si="2"/>
        <v>0.14699999999999999</v>
      </c>
      <c r="I51" s="1">
        <f t="shared" si="3"/>
        <v>0.14849175475687104</v>
      </c>
      <c r="J51" s="1">
        <f t="shared" si="8"/>
        <v>1.4589428864825136</v>
      </c>
      <c r="K51" s="1">
        <f t="shared" si="5"/>
        <v>4.8242424206970727</v>
      </c>
      <c r="L51" s="1"/>
      <c r="O51" s="1">
        <v>1.767766952966368</v>
      </c>
      <c r="P51" s="1">
        <f t="shared" si="6"/>
        <v>0.76780202792755003</v>
      </c>
    </row>
    <row r="52" spans="1:16">
      <c r="A52" s="1">
        <f t="shared" si="7"/>
        <v>5.0999999999999979</v>
      </c>
      <c r="B52" s="1">
        <v>0.14000000000000001</v>
      </c>
      <c r="C52" s="1">
        <v>0.23680000000000001</v>
      </c>
      <c r="D52" s="1"/>
      <c r="E52" s="9"/>
      <c r="F52" s="1">
        <f t="shared" si="1"/>
        <v>5.0999999999999979</v>
      </c>
      <c r="G52" s="1">
        <f t="shared" si="0"/>
        <v>1.8031222920256953</v>
      </c>
      <c r="H52" s="1">
        <f t="shared" si="2"/>
        <v>0.14000000000000001</v>
      </c>
      <c r="I52" s="1">
        <f t="shared" si="3"/>
        <v>0.14124155405405406</v>
      </c>
      <c r="J52" s="1">
        <f t="shared" si="8"/>
        <v>1.4151728929782332</v>
      </c>
      <c r="K52" s="1">
        <f t="shared" si="5"/>
        <v>4.8680124142013526</v>
      </c>
      <c r="L52" s="1"/>
      <c r="O52" s="1">
        <v>1.8031222920256953</v>
      </c>
      <c r="P52" s="1">
        <f t="shared" si="6"/>
        <v>0.77476823875285628</v>
      </c>
    </row>
    <row r="53" spans="1:16">
      <c r="A53" s="1">
        <f t="shared" si="7"/>
        <v>5.1999999999999975</v>
      </c>
      <c r="B53" s="1">
        <v>0.1331</v>
      </c>
      <c r="C53" s="1">
        <v>0.2374</v>
      </c>
      <c r="D53" s="1"/>
      <c r="E53" s="9"/>
      <c r="F53" s="1">
        <f t="shared" si="1"/>
        <v>5.1999999999999975</v>
      </c>
      <c r="G53" s="1">
        <f t="shared" si="0"/>
        <v>1.8384776310850226</v>
      </c>
      <c r="H53" s="1">
        <f t="shared" si="2"/>
        <v>0.1331</v>
      </c>
      <c r="I53" s="1">
        <f t="shared" si="3"/>
        <v>0.1339409856781803</v>
      </c>
      <c r="J53" s="1">
        <f t="shared" si="8"/>
        <v>1.3707925395129141</v>
      </c>
      <c r="K53" s="1">
        <f t="shared" si="5"/>
        <v>4.9123927676666721</v>
      </c>
      <c r="L53" s="1"/>
      <c r="O53" s="1">
        <v>1.8384776310850226</v>
      </c>
      <c r="P53" s="1">
        <f t="shared" si="6"/>
        <v>0.78183159138302749</v>
      </c>
    </row>
    <row r="54" spans="1:16">
      <c r="A54" s="1">
        <f t="shared" si="7"/>
        <v>5.2999999999999972</v>
      </c>
      <c r="B54" s="1">
        <v>0.12659999999999999</v>
      </c>
      <c r="C54" s="1">
        <v>0.23769999999999999</v>
      </c>
      <c r="D54" s="1"/>
      <c r="E54" s="9"/>
      <c r="F54" s="1">
        <f t="shared" si="1"/>
        <v>5.2999999999999972</v>
      </c>
      <c r="G54" s="1">
        <f t="shared" si="0"/>
        <v>1.8738329701443499</v>
      </c>
      <c r="H54" s="1">
        <f t="shared" si="2"/>
        <v>0.12659999999999999</v>
      </c>
      <c r="I54" s="1">
        <f t="shared" si="3"/>
        <v>0.12723912494741271</v>
      </c>
      <c r="J54" s="1">
        <f t="shared" si="8"/>
        <v>1.3296991878901172</v>
      </c>
      <c r="K54" s="1">
        <f t="shared" si="5"/>
        <v>4.9534861192894688</v>
      </c>
      <c r="L54" s="1"/>
      <c r="O54" s="1">
        <v>1.8738329701443499</v>
      </c>
      <c r="P54" s="1">
        <f t="shared" si="6"/>
        <v>0.78837180142200891</v>
      </c>
    </row>
    <row r="55" spans="1:16">
      <c r="A55" s="1">
        <f t="shared" si="7"/>
        <v>5.3999999999999968</v>
      </c>
      <c r="B55" s="1">
        <v>0.1216</v>
      </c>
      <c r="C55" s="1">
        <v>0.23649999999999999</v>
      </c>
      <c r="D55" s="1"/>
      <c r="E55" s="9"/>
      <c r="F55" s="1">
        <f t="shared" si="1"/>
        <v>5.3999999999999968</v>
      </c>
      <c r="G55" s="1">
        <f t="shared" si="0"/>
        <v>1.909188309203677</v>
      </c>
      <c r="H55" s="1">
        <f t="shared" si="2"/>
        <v>0.1216</v>
      </c>
      <c r="I55" s="1">
        <f t="shared" si="3"/>
        <v>0.1228339957716702</v>
      </c>
      <c r="J55" s="1">
        <f t="shared" si="8"/>
        <v>1.3024651697987699</v>
      </c>
      <c r="K55" s="1">
        <f t="shared" si="5"/>
        <v>4.9807201373808159</v>
      </c>
      <c r="L55" s="1"/>
      <c r="O55" s="1">
        <v>1.909188309203677</v>
      </c>
      <c r="P55" s="1">
        <f t="shared" si="6"/>
        <v>0.79270623002150087</v>
      </c>
    </row>
    <row r="56" spans="1:16">
      <c r="A56" s="1">
        <f t="shared" si="7"/>
        <v>5.4999999999999964</v>
      </c>
      <c r="B56" s="1">
        <v>0.1157</v>
      </c>
      <c r="C56" s="1">
        <v>0.2369</v>
      </c>
      <c r="D56" s="1"/>
      <c r="E56" s="9"/>
      <c r="F56" s="1">
        <f t="shared" si="1"/>
        <v>5.4999999999999964</v>
      </c>
      <c r="G56" s="1">
        <f t="shared" si="0"/>
        <v>1.9445436482630043</v>
      </c>
      <c r="H56" s="1">
        <f t="shared" si="2"/>
        <v>0.1157</v>
      </c>
      <c r="I56" s="1">
        <f t="shared" si="3"/>
        <v>0.11667678345293372</v>
      </c>
      <c r="J56" s="1">
        <f t="shared" si="8"/>
        <v>1.2640490442311063</v>
      </c>
      <c r="K56" s="1">
        <f t="shared" si="5"/>
        <v>5.0191362629484804</v>
      </c>
      <c r="L56" s="1"/>
      <c r="O56" s="1">
        <v>1.9445436482630043</v>
      </c>
      <c r="P56" s="1">
        <f t="shared" si="6"/>
        <v>0.79882034630003362</v>
      </c>
    </row>
    <row r="57" spans="1:16">
      <c r="A57" s="1">
        <f t="shared" si="7"/>
        <v>5.5999999999999961</v>
      </c>
      <c r="B57" s="1">
        <v>0.1111</v>
      </c>
      <c r="C57" s="1">
        <v>0.23599999999999999</v>
      </c>
      <c r="D57" s="1"/>
      <c r="E57" s="9"/>
      <c r="F57" s="1">
        <f t="shared" si="1"/>
        <v>5.5999999999999961</v>
      </c>
      <c r="G57" s="1">
        <f t="shared" si="0"/>
        <v>1.9798989873223316</v>
      </c>
      <c r="H57" s="1">
        <f t="shared" si="2"/>
        <v>0.1111</v>
      </c>
      <c r="I57" s="1">
        <f t="shared" si="3"/>
        <v>0.11246521186440679</v>
      </c>
      <c r="J57" s="1">
        <f t="shared" si="8"/>
        <v>1.2375040820616829</v>
      </c>
      <c r="K57" s="1">
        <f t="shared" si="5"/>
        <v>5.0456812251179031</v>
      </c>
      <c r="L57" s="1"/>
      <c r="O57" s="1">
        <v>1.9798989873223316</v>
      </c>
      <c r="P57" s="1">
        <f t="shared" si="6"/>
        <v>0.80304510824348463</v>
      </c>
    </row>
    <row r="58" spans="1:16">
      <c r="A58" s="1">
        <f t="shared" si="7"/>
        <v>5.6999999999999957</v>
      </c>
      <c r="B58" s="1">
        <v>0.10630000000000001</v>
      </c>
      <c r="C58" s="1">
        <v>0.23580000000000001</v>
      </c>
      <c r="D58" s="1"/>
      <c r="E58" s="9"/>
      <c r="F58" s="1">
        <f t="shared" si="1"/>
        <v>5.6999999999999957</v>
      </c>
      <c r="G58" s="1">
        <f t="shared" si="0"/>
        <v>2.0152543263816587</v>
      </c>
      <c r="H58" s="1">
        <f t="shared" si="2"/>
        <v>0.10630000000000001</v>
      </c>
      <c r="I58" s="1">
        <f t="shared" si="3"/>
        <v>0.10769749787955896</v>
      </c>
      <c r="J58" s="1">
        <f t="shared" si="8"/>
        <v>1.2071552008710893</v>
      </c>
      <c r="K58" s="1">
        <f t="shared" si="5"/>
        <v>5.0760301063084974</v>
      </c>
      <c r="L58" s="1"/>
      <c r="O58" s="1">
        <v>2.0152543263816587</v>
      </c>
      <c r="P58" s="1">
        <f t="shared" si="6"/>
        <v>0.80787528270227638</v>
      </c>
    </row>
    <row r="59" spans="1:16">
      <c r="A59" s="1">
        <f t="shared" si="7"/>
        <v>5.7999999999999954</v>
      </c>
      <c r="B59" s="1">
        <v>0.10100000000000001</v>
      </c>
      <c r="C59" s="1">
        <v>0.23730000000000001</v>
      </c>
      <c r="D59" s="1"/>
      <c r="E59" s="9"/>
      <c r="F59" s="1">
        <f t="shared" si="1"/>
        <v>5.7999999999999954</v>
      </c>
      <c r="G59" s="1">
        <f t="shared" si="0"/>
        <v>2.050609665440986</v>
      </c>
      <c r="H59" s="1">
        <f t="shared" si="2"/>
        <v>0.10100000000000001</v>
      </c>
      <c r="I59" s="1">
        <f t="shared" si="3"/>
        <v>0.10168099452170248</v>
      </c>
      <c r="J59" s="1">
        <f t="shared" si="8"/>
        <v>1.1683455738473816</v>
      </c>
      <c r="K59" s="1">
        <f t="shared" si="5"/>
        <v>5.1148397333322047</v>
      </c>
      <c r="L59" s="1"/>
      <c r="O59" s="1">
        <v>2.050609665440986</v>
      </c>
      <c r="P59" s="1">
        <f t="shared" si="6"/>
        <v>0.8140520266826522</v>
      </c>
    </row>
    <row r="60" spans="1:16">
      <c r="A60" s="1">
        <f t="shared" si="7"/>
        <v>5.899999999999995</v>
      </c>
      <c r="B60" s="1">
        <v>9.7100000000000006E-2</v>
      </c>
      <c r="C60" s="1">
        <v>0.23730000000000001</v>
      </c>
      <c r="D60" s="1"/>
      <c r="E60" s="9"/>
      <c r="F60" s="1">
        <f t="shared" si="1"/>
        <v>5.899999999999995</v>
      </c>
      <c r="G60" s="1">
        <f t="shared" si="0"/>
        <v>2.0859650045003133</v>
      </c>
      <c r="H60" s="1">
        <f t="shared" si="2"/>
        <v>9.7100000000000006E-2</v>
      </c>
      <c r="I60" s="1">
        <f t="shared" si="3"/>
        <v>9.775469869363676E-2</v>
      </c>
      <c r="J60" s="1">
        <f t="shared" si="8"/>
        <v>1.142672973835456</v>
      </c>
      <c r="K60" s="1">
        <f t="shared" si="5"/>
        <v>5.1405123333441303</v>
      </c>
      <c r="L60" s="1"/>
      <c r="O60" s="1">
        <v>2.0859650045003133</v>
      </c>
      <c r="P60" s="1">
        <f t="shared" si="6"/>
        <v>0.81813794787657124</v>
      </c>
    </row>
    <row r="61" spans="1:16">
      <c r="A61" s="1">
        <f t="shared" si="7"/>
        <v>5.9999999999999947</v>
      </c>
      <c r="B61" s="1">
        <v>9.2999999999999999E-2</v>
      </c>
      <c r="C61" s="1">
        <v>0.23719999999999999</v>
      </c>
      <c r="D61" s="1"/>
      <c r="E61" s="9"/>
      <c r="F61" s="1">
        <f t="shared" si="1"/>
        <v>5.9999999999999947</v>
      </c>
      <c r="G61" s="1">
        <f t="shared" si="0"/>
        <v>2.1213203435596406</v>
      </c>
      <c r="H61" s="1">
        <f t="shared" si="2"/>
        <v>9.2999999999999999E-2</v>
      </c>
      <c r="I61" s="1">
        <f t="shared" si="3"/>
        <v>9.3666526138279929E-2</v>
      </c>
      <c r="J61" s="1">
        <f t="shared" si="8"/>
        <v>1.1156179706729439</v>
      </c>
      <c r="K61" s="1">
        <f t="shared" si="5"/>
        <v>5.1675673365066421</v>
      </c>
      <c r="L61" s="1"/>
      <c r="O61" s="1">
        <v>2.1213203435596406</v>
      </c>
      <c r="P61" s="1">
        <f t="shared" si="6"/>
        <v>0.82244388536525181</v>
      </c>
    </row>
    <row r="62" spans="1:16">
      <c r="A62" s="1">
        <f t="shared" si="7"/>
        <v>6.0999999999999943</v>
      </c>
      <c r="B62" s="1">
        <v>8.8999999999999996E-2</v>
      </c>
      <c r="C62" s="1">
        <v>0.2374</v>
      </c>
      <c r="D62" s="1"/>
      <c r="E62" s="9"/>
      <c r="F62" s="1">
        <f t="shared" si="1"/>
        <v>6.0999999999999943</v>
      </c>
      <c r="G62" s="1">
        <f t="shared" si="0"/>
        <v>2.1566756826189679</v>
      </c>
      <c r="H62" s="1">
        <f t="shared" si="2"/>
        <v>8.8999999999999996E-2</v>
      </c>
      <c r="I62" s="1">
        <f t="shared" si="3"/>
        <v>8.9562342038753157E-2</v>
      </c>
      <c r="J62" s="1">
        <f t="shared" si="8"/>
        <v>1.0880915972409482</v>
      </c>
      <c r="K62" s="1">
        <f t="shared" si="5"/>
        <v>5.1950937099386376</v>
      </c>
      <c r="L62" s="1"/>
      <c r="O62" s="1">
        <v>2.1566756826189679</v>
      </c>
      <c r="P62" s="1">
        <f t="shared" si="6"/>
        <v>0.82682484376234733</v>
      </c>
    </row>
    <row r="63" spans="1:16">
      <c r="A63" s="1">
        <f t="shared" si="7"/>
        <v>6.199999999999994</v>
      </c>
      <c r="B63" s="1">
        <v>8.5800000000000001E-2</v>
      </c>
      <c r="C63" s="1">
        <v>0.23699999999999999</v>
      </c>
      <c r="D63" s="1"/>
      <c r="E63" s="9"/>
      <c r="F63" s="1">
        <f t="shared" si="1"/>
        <v>6.199999999999994</v>
      </c>
      <c r="G63" s="1">
        <f t="shared" si="0"/>
        <v>2.1920310216782952</v>
      </c>
      <c r="H63" s="1">
        <f t="shared" si="2"/>
        <v>8.5800000000000001E-2</v>
      </c>
      <c r="I63" s="1">
        <f t="shared" si="3"/>
        <v>8.6487848101265835E-2</v>
      </c>
      <c r="J63" s="1">
        <f t="shared" si="8"/>
        <v>1.0672093693097122</v>
      </c>
      <c r="K63" s="1">
        <f t="shared" si="5"/>
        <v>5.2159759378698745</v>
      </c>
      <c r="L63" s="1"/>
      <c r="O63" s="1">
        <v>2.1920310216782952</v>
      </c>
      <c r="P63" s="1">
        <f t="shared" si="6"/>
        <v>0.83014835356037531</v>
      </c>
    </row>
    <row r="64" spans="1:16">
      <c r="A64" s="1">
        <f t="shared" si="7"/>
        <v>6.2999999999999936</v>
      </c>
      <c r="B64" s="1">
        <v>8.2799999999999999E-2</v>
      </c>
      <c r="C64" s="1">
        <v>0.23730000000000001</v>
      </c>
      <c r="D64" s="1"/>
      <c r="E64" s="9"/>
      <c r="F64" s="1">
        <f t="shared" si="1"/>
        <v>6.2999999999999936</v>
      </c>
      <c r="G64" s="1">
        <f t="shared" si="0"/>
        <v>2.2273863607376221</v>
      </c>
      <c r="H64" s="1">
        <f t="shared" si="2"/>
        <v>8.2799999999999999E-2</v>
      </c>
      <c r="I64" s="1">
        <f t="shared" si="3"/>
        <v>8.33582806573957E-2</v>
      </c>
      <c r="J64" s="1">
        <f t="shared" si="8"/>
        <v>1.0457032771363641</v>
      </c>
      <c r="K64" s="1">
        <f t="shared" si="5"/>
        <v>5.2374820300432221</v>
      </c>
      <c r="L64" s="1"/>
      <c r="O64" s="1">
        <v>2.2273863607376221</v>
      </c>
      <c r="P64" s="1">
        <f t="shared" si="6"/>
        <v>0.83357115443635355</v>
      </c>
    </row>
    <row r="65" spans="1:16">
      <c r="A65" s="1">
        <f t="shared" si="7"/>
        <v>6.3999999999999932</v>
      </c>
      <c r="B65" s="1">
        <v>7.9299999999999995E-2</v>
      </c>
      <c r="C65" s="1">
        <v>0.2369</v>
      </c>
      <c r="D65" s="1"/>
      <c r="E65" s="9"/>
      <c r="F65" s="1">
        <f t="shared" si="1"/>
        <v>6.3999999999999932</v>
      </c>
      <c r="G65" s="1">
        <f t="shared" si="0"/>
        <v>2.2627416997969494</v>
      </c>
      <c r="H65" s="1">
        <f t="shared" si="2"/>
        <v>7.9299999999999995E-2</v>
      </c>
      <c r="I65" s="1">
        <f t="shared" si="3"/>
        <v>7.9969480793583791E-2</v>
      </c>
      <c r="J65" s="1">
        <f t="shared" si="8"/>
        <v>1.0221090518739477</v>
      </c>
      <c r="K65" s="1">
        <f t="shared" si="5"/>
        <v>5.2610762553056389</v>
      </c>
      <c r="L65" s="1"/>
      <c r="O65" s="1">
        <v>2.2627416997969494</v>
      </c>
      <c r="P65" s="1">
        <f t="shared" si="6"/>
        <v>0.83732629201529085</v>
      </c>
    </row>
    <row r="66" spans="1:16">
      <c r="A66" s="1">
        <f t="shared" si="7"/>
        <v>6.4999999999999929</v>
      </c>
      <c r="B66" s="1">
        <v>7.6499999999999999E-2</v>
      </c>
      <c r="C66" s="1">
        <v>0.2364</v>
      </c>
      <c r="D66" s="1"/>
      <c r="E66" s="9"/>
      <c r="F66" s="1">
        <f t="shared" si="1"/>
        <v>6.4999999999999929</v>
      </c>
      <c r="G66" s="1">
        <f t="shared" ref="G66:G111" si="9">F66/2/SQRT(2)</f>
        <v>2.2980970388562767</v>
      </c>
      <c r="H66" s="1">
        <f t="shared" si="2"/>
        <v>7.6499999999999999E-2</v>
      </c>
      <c r="I66" s="1">
        <f t="shared" si="3"/>
        <v>7.7309010152284266E-2</v>
      </c>
      <c r="J66" s="1">
        <f t="shared" si="8"/>
        <v>1.0033451861538376</v>
      </c>
      <c r="K66" s="1">
        <f t="shared" si="5"/>
        <v>5.2798401210257486</v>
      </c>
      <c r="L66" s="1"/>
      <c r="O66" s="1">
        <v>2.2980970388562767</v>
      </c>
      <c r="P66" s="1">
        <f t="shared" si="6"/>
        <v>0.84031265399615884</v>
      </c>
    </row>
    <row r="67" spans="1:16">
      <c r="A67" s="1">
        <f>A66+0.1</f>
        <v>6.5999999999999925</v>
      </c>
      <c r="B67" s="1">
        <v>7.3899999999999993E-2</v>
      </c>
      <c r="C67" s="1">
        <v>0.2364</v>
      </c>
      <c r="D67" s="1"/>
      <c r="E67" s="9"/>
      <c r="F67" s="1">
        <f t="shared" ref="F67:F111" si="10">A67</f>
        <v>6.5999999999999925</v>
      </c>
      <c r="G67" s="1">
        <f t="shared" si="9"/>
        <v>2.333452377915604</v>
      </c>
      <c r="H67" s="1">
        <f t="shared" ref="H67:H111" si="11">B67</f>
        <v>7.3899999999999993E-2</v>
      </c>
      <c r="I67" s="1">
        <f t="shared" ref="I67:I111" si="12">H67*MAX(C$2:C$113)/C67</f>
        <v>7.4681514382402697E-2</v>
      </c>
      <c r="J67" s="1">
        <f t="shared" si="8"/>
        <v>0.98459097772198634</v>
      </c>
      <c r="K67" s="1">
        <f t="shared" ref="K67:K111" si="13">2*J$30-J67</f>
        <v>5.2985943294576003</v>
      </c>
      <c r="L67" s="1"/>
      <c r="O67" s="1">
        <v>2.333452377915604</v>
      </c>
      <c r="P67" s="1">
        <f t="shared" ref="P67:P111" si="14">K67/2/PI()</f>
        <v>0.84329747897186369</v>
      </c>
    </row>
    <row r="68" spans="1:16">
      <c r="A68" s="1">
        <f t="shared" ref="A68:A71" si="15">A67+0.1</f>
        <v>6.6999999999999922</v>
      </c>
      <c r="B68" s="1">
        <v>7.17E-2</v>
      </c>
      <c r="C68" s="1">
        <v>0.2354</v>
      </c>
      <c r="D68" s="1"/>
      <c r="E68" s="9"/>
      <c r="F68" s="1">
        <f t="shared" si="10"/>
        <v>6.6999999999999922</v>
      </c>
      <c r="G68" s="1">
        <f t="shared" si="9"/>
        <v>2.3688077169749313</v>
      </c>
      <c r="H68" s="1">
        <f t="shared" si="11"/>
        <v>7.17E-2</v>
      </c>
      <c r="I68" s="1">
        <f t="shared" si="12"/>
        <v>7.2766057774001691E-2</v>
      </c>
      <c r="J68" s="1">
        <f t="shared" si="8"/>
        <v>0.97077088422559354</v>
      </c>
      <c r="K68" s="1">
        <f t="shared" si="13"/>
        <v>5.3124144229539922</v>
      </c>
      <c r="L68" s="1"/>
      <c r="O68" s="1">
        <v>2.3688077169749313</v>
      </c>
      <c r="P68" s="1">
        <f t="shared" si="14"/>
        <v>0.84549701516580666</v>
      </c>
    </row>
    <row r="69" spans="1:16">
      <c r="A69" s="1">
        <f t="shared" si="15"/>
        <v>6.7999999999999918</v>
      </c>
      <c r="B69" s="1">
        <v>6.93E-2</v>
      </c>
      <c r="C69" s="1">
        <v>0.2349</v>
      </c>
      <c r="D69" s="1"/>
      <c r="E69" s="9"/>
      <c r="F69" s="1">
        <f t="shared" si="10"/>
        <v>6.7999999999999918</v>
      </c>
      <c r="G69" s="1">
        <f t="shared" si="9"/>
        <v>2.4041630560342586</v>
      </c>
      <c r="H69" s="1">
        <f t="shared" si="11"/>
        <v>6.93E-2</v>
      </c>
      <c r="I69" s="1">
        <f t="shared" si="12"/>
        <v>7.0480076628352498E-2</v>
      </c>
      <c r="J69" s="1">
        <f t="shared" si="8"/>
        <v>0.95410419868559204</v>
      </c>
      <c r="K69" s="1">
        <f t="shared" si="13"/>
        <v>5.3290811084939946</v>
      </c>
      <c r="L69" s="1"/>
      <c r="O69" s="1">
        <v>2.4041630560342586</v>
      </c>
      <c r="P69" s="1">
        <f t="shared" si="14"/>
        <v>0.84814960055445632</v>
      </c>
    </row>
    <row r="70" spans="1:16">
      <c r="A70" s="1">
        <f t="shared" si="15"/>
        <v>6.8999999999999915</v>
      </c>
      <c r="B70" s="1">
        <v>6.6900000000000001E-2</v>
      </c>
      <c r="C70" s="1">
        <v>0.23499999999999999</v>
      </c>
      <c r="D70" s="1"/>
      <c r="E70" s="9"/>
      <c r="F70" s="1">
        <f t="shared" si="10"/>
        <v>6.8999999999999915</v>
      </c>
      <c r="G70" s="1">
        <f t="shared" si="9"/>
        <v>2.4395183950935859</v>
      </c>
      <c r="H70" s="1">
        <f t="shared" si="11"/>
        <v>6.6900000000000001E-2</v>
      </c>
      <c r="I70" s="1">
        <f t="shared" si="12"/>
        <v>6.8010255319148935E-2</v>
      </c>
      <c r="J70" s="1">
        <f t="shared" si="8"/>
        <v>0.93587279764950482</v>
      </c>
      <c r="K70" s="1">
        <f t="shared" si="13"/>
        <v>5.3473125095300817</v>
      </c>
      <c r="L70" s="1"/>
      <c r="O70" s="1">
        <v>2.4395183950935859</v>
      </c>
      <c r="P70" s="1">
        <f t="shared" si="14"/>
        <v>0.85105121814884022</v>
      </c>
    </row>
    <row r="71" spans="1:16">
      <c r="A71" s="1">
        <f t="shared" si="15"/>
        <v>6.9999999999999911</v>
      </c>
      <c r="B71" s="1">
        <v>6.4500000000000002E-2</v>
      </c>
      <c r="C71" s="1">
        <v>0.23530000000000001</v>
      </c>
      <c r="D71" s="1"/>
      <c r="E71" s="9"/>
      <c r="F71" s="1">
        <f t="shared" si="10"/>
        <v>6.9999999999999911</v>
      </c>
      <c r="G71" s="1">
        <f t="shared" si="9"/>
        <v>2.4748737341529132</v>
      </c>
      <c r="H71" s="1">
        <f t="shared" si="11"/>
        <v>6.4500000000000002E-2</v>
      </c>
      <c r="I71" s="1">
        <f t="shared" si="12"/>
        <v>6.5486825329366768E-2</v>
      </c>
      <c r="J71" s="1">
        <f t="shared" si="8"/>
        <v>0.9169891563081457</v>
      </c>
      <c r="K71" s="1">
        <f t="shared" si="13"/>
        <v>5.3661961508714402</v>
      </c>
      <c r="L71" s="1"/>
      <c r="O71" s="1">
        <v>2.4748737341529132</v>
      </c>
      <c r="P71" s="1">
        <f t="shared" si="14"/>
        <v>0.85405664301189188</v>
      </c>
    </row>
    <row r="72" spans="1:16">
      <c r="A72" s="1">
        <f>A71+0.1</f>
        <v>7.0999999999999908</v>
      </c>
      <c r="B72" s="1">
        <v>6.2600000000000003E-2</v>
      </c>
      <c r="C72" s="1">
        <v>0.2346</v>
      </c>
      <c r="D72" s="1"/>
      <c r="E72" s="9"/>
      <c r="F72" s="1">
        <f t="shared" si="10"/>
        <v>7.0999999999999908</v>
      </c>
      <c r="G72" s="1">
        <f t="shared" si="9"/>
        <v>2.5102290732122401</v>
      </c>
      <c r="H72" s="1">
        <f t="shared" si="11"/>
        <v>6.2600000000000003E-2</v>
      </c>
      <c r="I72" s="1">
        <f t="shared" si="12"/>
        <v>6.3747399829497023E-2</v>
      </c>
      <c r="J72" s="1">
        <f t="shared" si="8"/>
        <v>0.90381217799635305</v>
      </c>
      <c r="K72" s="1">
        <f t="shared" si="13"/>
        <v>5.3793731291832332</v>
      </c>
      <c r="L72" s="1"/>
      <c r="O72" s="1">
        <v>2.5455844122715678</v>
      </c>
      <c r="P72" s="1">
        <f t="shared" si="14"/>
        <v>0.85615382424522846</v>
      </c>
    </row>
    <row r="73" spans="1:16">
      <c r="A73" s="1">
        <f t="shared" ref="A73:A81" si="16">A72+0.1</f>
        <v>7.1999999999999904</v>
      </c>
      <c r="B73" s="1">
        <v>6.0499999999999998E-2</v>
      </c>
      <c r="C73" s="1">
        <v>0.2346</v>
      </c>
      <c r="D73" s="1"/>
      <c r="E73" s="9"/>
      <c r="F73" s="1">
        <f t="shared" si="10"/>
        <v>7.1999999999999904</v>
      </c>
      <c r="G73" s="1">
        <f t="shared" si="9"/>
        <v>2.5455844122715674</v>
      </c>
      <c r="H73" s="1">
        <f t="shared" si="11"/>
        <v>6.0499999999999998E-2</v>
      </c>
      <c r="I73" s="1">
        <f t="shared" si="12"/>
        <v>6.1608908780903665E-2</v>
      </c>
      <c r="J73" s="1">
        <f t="shared" si="8"/>
        <v>0.88742203182515633</v>
      </c>
      <c r="K73" s="1">
        <f t="shared" si="13"/>
        <v>5.3957632753544296</v>
      </c>
      <c r="L73" s="1"/>
      <c r="O73" s="1">
        <v>2.6162950903902225</v>
      </c>
      <c r="P73" s="1">
        <f t="shared" si="14"/>
        <v>0.85876239702637303</v>
      </c>
    </row>
    <row r="74" spans="1:16">
      <c r="A74" s="1">
        <f t="shared" si="16"/>
        <v>7.2999999999999901</v>
      </c>
      <c r="B74" s="1">
        <v>5.8700000000000002E-2</v>
      </c>
      <c r="C74" s="1">
        <v>0.23469999999999999</v>
      </c>
      <c r="D74" s="1"/>
      <c r="E74" s="9"/>
      <c r="F74" s="1">
        <f t="shared" si="10"/>
        <v>7.2999999999999901</v>
      </c>
      <c r="G74" s="1">
        <f t="shared" si="9"/>
        <v>2.5809397513308947</v>
      </c>
      <c r="H74" s="1">
        <f t="shared" si="11"/>
        <v>5.8700000000000002E-2</v>
      </c>
      <c r="I74" s="1">
        <f t="shared" si="12"/>
        <v>5.975044737963358E-2</v>
      </c>
      <c r="J74" s="1">
        <f t="shared" si="8"/>
        <v>0.87299852623120544</v>
      </c>
      <c r="K74" s="1">
        <f t="shared" si="13"/>
        <v>5.410186780948381</v>
      </c>
      <c r="L74" s="1"/>
      <c r="O74" s="1">
        <v>2.6870057685088775</v>
      </c>
      <c r="P74" s="1">
        <f t="shared" si="14"/>
        <v>0.86105796923836408</v>
      </c>
    </row>
    <row r="75" spans="1:16">
      <c r="A75" s="1">
        <f t="shared" si="16"/>
        <v>7.3999999999999897</v>
      </c>
      <c r="B75" s="1">
        <v>5.6800000000000003E-2</v>
      </c>
      <c r="C75" s="1">
        <v>0.2346</v>
      </c>
      <c r="D75" s="1"/>
      <c r="E75" s="9"/>
      <c r="F75" s="1">
        <f t="shared" si="10"/>
        <v>7.3999999999999897</v>
      </c>
      <c r="G75" s="1">
        <f t="shared" si="9"/>
        <v>2.616295090390222</v>
      </c>
      <c r="H75" s="1">
        <f t="shared" si="11"/>
        <v>5.6800000000000003E-2</v>
      </c>
      <c r="I75" s="1">
        <f t="shared" si="12"/>
        <v>5.7841091219096342E-2</v>
      </c>
      <c r="J75" s="1">
        <f t="shared" si="8"/>
        <v>0.85799600309606727</v>
      </c>
      <c r="K75" s="1">
        <f t="shared" si="13"/>
        <v>5.4251893040835188</v>
      </c>
      <c r="L75" s="1"/>
      <c r="O75" s="1">
        <v>2.7577164466275321</v>
      </c>
      <c r="P75" s="1">
        <f t="shared" si="14"/>
        <v>0.86344569495417178</v>
      </c>
    </row>
    <row r="76" spans="1:16">
      <c r="A76" s="1">
        <f t="shared" si="16"/>
        <v>7.4999999999999893</v>
      </c>
      <c r="B76" s="1">
        <v>5.5E-2</v>
      </c>
      <c r="C76" s="1">
        <v>0.23469999999999999</v>
      </c>
      <c r="D76" s="1"/>
      <c r="E76" s="9"/>
      <c r="F76" s="1">
        <f t="shared" si="10"/>
        <v>7.4999999999999893</v>
      </c>
      <c r="G76" s="1">
        <f t="shared" si="9"/>
        <v>2.6516504294495493</v>
      </c>
      <c r="H76" s="1">
        <f t="shared" si="11"/>
        <v>5.5E-2</v>
      </c>
      <c r="I76" s="1">
        <f t="shared" si="12"/>
        <v>5.5984235193864508E-2</v>
      </c>
      <c r="J76" s="1">
        <f t="shared" ref="J76:J106" si="17">ACOS(1-2*(I76/MAX(I$3:I$111)))</f>
        <v>0.84321700019042523</v>
      </c>
      <c r="K76" s="1">
        <f t="shared" si="13"/>
        <v>5.4399683069891607</v>
      </c>
      <c r="L76" s="1"/>
      <c r="O76" s="1">
        <v>2.8284271247461872</v>
      </c>
      <c r="P76" s="1">
        <f t="shared" si="14"/>
        <v>0.8657978463205741</v>
      </c>
    </row>
    <row r="77" spans="1:16">
      <c r="A77" s="1">
        <f t="shared" si="16"/>
        <v>7.599999999999989</v>
      </c>
      <c r="B77" s="1">
        <v>5.3400000000000003E-2</v>
      </c>
      <c r="C77" s="1">
        <v>0.2346</v>
      </c>
      <c r="D77" s="1"/>
      <c r="E77" s="9"/>
      <c r="F77" s="1">
        <f t="shared" si="10"/>
        <v>7.599999999999989</v>
      </c>
      <c r="G77" s="1">
        <f t="shared" si="9"/>
        <v>2.6870057685088766</v>
      </c>
      <c r="H77" s="1">
        <f t="shared" si="11"/>
        <v>5.3400000000000003E-2</v>
      </c>
      <c r="I77" s="1">
        <f t="shared" si="12"/>
        <v>5.4378772378516627E-2</v>
      </c>
      <c r="J77" s="1">
        <f t="shared" si="17"/>
        <v>0.83028036939164251</v>
      </c>
      <c r="K77" s="1">
        <f t="shared" si="13"/>
        <v>5.4529049377879435</v>
      </c>
      <c r="L77" s="1"/>
      <c r="O77" s="1">
        <v>2.8991378028648418</v>
      </c>
      <c r="P77" s="1">
        <f t="shared" si="14"/>
        <v>0.86785677505915526</v>
      </c>
    </row>
    <row r="78" spans="1:16">
      <c r="A78" s="1">
        <f t="shared" si="16"/>
        <v>7.6999999999999886</v>
      </c>
      <c r="B78" s="1">
        <v>5.1799999999999999E-2</v>
      </c>
      <c r="C78" s="1">
        <v>0.2346</v>
      </c>
      <c r="D78" s="1"/>
      <c r="E78" s="9"/>
      <c r="F78" s="1">
        <f t="shared" si="10"/>
        <v>7.6999999999999886</v>
      </c>
      <c r="G78" s="1">
        <f t="shared" si="9"/>
        <v>2.7223611075682039</v>
      </c>
      <c r="H78" s="1">
        <f t="shared" si="11"/>
        <v>5.1799999999999999E-2</v>
      </c>
      <c r="I78" s="1">
        <f t="shared" si="12"/>
        <v>5.2749445865302641E-2</v>
      </c>
      <c r="J78" s="1">
        <f t="shared" si="17"/>
        <v>0.81699311639354666</v>
      </c>
      <c r="K78" s="1">
        <f t="shared" si="13"/>
        <v>5.4661921907860398</v>
      </c>
      <c r="L78" s="1"/>
      <c r="O78" s="1">
        <v>2.9698484809834964</v>
      </c>
      <c r="P78" s="1">
        <f t="shared" si="14"/>
        <v>0.86997150705391491</v>
      </c>
    </row>
    <row r="79" spans="1:16">
      <c r="A79" s="1">
        <f t="shared" si="16"/>
        <v>7.7999999999999883</v>
      </c>
      <c r="B79" s="1">
        <v>5.04E-2</v>
      </c>
      <c r="C79" s="1">
        <v>0.2346</v>
      </c>
      <c r="D79" s="1"/>
      <c r="E79" s="9"/>
      <c r="F79" s="1">
        <f t="shared" si="10"/>
        <v>7.7999999999999883</v>
      </c>
      <c r="G79" s="1">
        <f t="shared" si="9"/>
        <v>2.7577164466275308</v>
      </c>
      <c r="H79" s="1">
        <f t="shared" si="11"/>
        <v>5.04E-2</v>
      </c>
      <c r="I79" s="1">
        <f t="shared" si="12"/>
        <v>5.1323785166240414E-2</v>
      </c>
      <c r="J79" s="1">
        <f t="shared" si="17"/>
        <v>0.80522938142347766</v>
      </c>
      <c r="K79" s="1">
        <f t="shared" si="13"/>
        <v>5.4779559257561088</v>
      </c>
      <c r="L79" s="1"/>
      <c r="O79" s="1">
        <v>3.040559159102151</v>
      </c>
      <c r="P79" s="1">
        <f t="shared" si="14"/>
        <v>0.87184376362362437</v>
      </c>
    </row>
    <row r="80" spans="1:16">
      <c r="A80" s="1">
        <f t="shared" si="16"/>
        <v>7.8999999999999879</v>
      </c>
      <c r="B80" s="1">
        <v>4.8899999999999999E-2</v>
      </c>
      <c r="C80" s="1">
        <v>0.23469999999999999</v>
      </c>
      <c r="D80" s="1"/>
      <c r="E80" s="9"/>
      <c r="F80" s="1">
        <f t="shared" si="10"/>
        <v>7.8999999999999879</v>
      </c>
      <c r="G80" s="1">
        <f t="shared" si="9"/>
        <v>2.7930717856868581</v>
      </c>
      <c r="H80" s="1">
        <f t="shared" si="11"/>
        <v>4.8899999999999999E-2</v>
      </c>
      <c r="I80" s="1">
        <f t="shared" si="12"/>
        <v>4.9775074563272265E-2</v>
      </c>
      <c r="J80" s="1">
        <f t="shared" si="17"/>
        <v>0.79229764160577654</v>
      </c>
      <c r="K80" s="1">
        <f t="shared" si="13"/>
        <v>5.4908876655738101</v>
      </c>
      <c r="L80" s="1"/>
      <c r="O80" s="1">
        <v>3.1112698372208052</v>
      </c>
      <c r="P80" s="1">
        <f t="shared" si="14"/>
        <v>0.87390191393838978</v>
      </c>
    </row>
    <row r="81" spans="1:16">
      <c r="A81" s="1">
        <f t="shared" si="16"/>
        <v>7.9999999999999876</v>
      </c>
      <c r="B81" s="1">
        <v>4.7399999999999998E-2</v>
      </c>
      <c r="C81" s="1">
        <v>0.23499999999999999</v>
      </c>
      <c r="D81" s="1"/>
      <c r="E81" s="9"/>
      <c r="F81" s="1">
        <f t="shared" si="10"/>
        <v>7.9999999999999876</v>
      </c>
      <c r="G81" s="1">
        <f t="shared" si="9"/>
        <v>2.8284271247461854</v>
      </c>
      <c r="H81" s="1">
        <f t="shared" si="11"/>
        <v>4.7399999999999998E-2</v>
      </c>
      <c r="I81" s="1">
        <f t="shared" si="12"/>
        <v>4.8186638297872342E-2</v>
      </c>
      <c r="J81" s="1">
        <f t="shared" si="17"/>
        <v>0.77886053505618136</v>
      </c>
      <c r="K81" s="1">
        <f t="shared" si="13"/>
        <v>5.5043247721234048</v>
      </c>
      <c r="L81" s="1"/>
      <c r="O81" s="1">
        <v>3.1819805153394598</v>
      </c>
      <c r="P81" s="1">
        <f t="shared" si="14"/>
        <v>0.87604049586661026</v>
      </c>
    </row>
    <row r="82" spans="1:16">
      <c r="A82" s="1">
        <f>A81+0.2</f>
        <v>8.1999999999999869</v>
      </c>
      <c r="B82" s="1">
        <v>4.4900000000000002E-2</v>
      </c>
      <c r="C82" s="1">
        <v>0.23480000000000001</v>
      </c>
      <c r="D82" s="1"/>
      <c r="E82" s="9"/>
      <c r="F82" s="1">
        <f t="shared" si="10"/>
        <v>8.1999999999999869</v>
      </c>
      <c r="G82" s="1">
        <f t="shared" si="9"/>
        <v>2.89913780286484</v>
      </c>
      <c r="H82" s="1">
        <f t="shared" si="11"/>
        <v>4.4900000000000002E-2</v>
      </c>
      <c r="I82" s="1">
        <f t="shared" si="12"/>
        <v>4.5684028960817719E-2</v>
      </c>
      <c r="J82" s="1">
        <f t="shared" si="17"/>
        <v>0.75730973575200622</v>
      </c>
      <c r="K82" s="1">
        <f t="shared" si="13"/>
        <v>5.52587557142758</v>
      </c>
      <c r="L82" s="1"/>
      <c r="O82" s="1">
        <v>3.2526911934581144</v>
      </c>
      <c r="P82" s="1">
        <f t="shared" si="14"/>
        <v>0.87947041210345112</v>
      </c>
    </row>
    <row r="83" spans="1:16">
      <c r="A83" s="1">
        <f t="shared" ref="A83:A90" si="18">A82+0.2</f>
        <v>8.3999999999999861</v>
      </c>
      <c r="B83" s="1">
        <v>4.2500000000000003E-2</v>
      </c>
      <c r="C83" s="1">
        <v>0.23469999999999999</v>
      </c>
      <c r="D83" s="1"/>
      <c r="E83" s="9"/>
      <c r="F83" s="1">
        <f t="shared" si="10"/>
        <v>8.3999999999999861</v>
      </c>
      <c r="G83" s="1">
        <f t="shared" si="9"/>
        <v>2.9698484809834946</v>
      </c>
      <c r="H83" s="1">
        <f t="shared" si="11"/>
        <v>4.2500000000000003E-2</v>
      </c>
      <c r="I83" s="1">
        <f t="shared" si="12"/>
        <v>4.3260545377077124E-2</v>
      </c>
      <c r="J83" s="1">
        <f t="shared" si="17"/>
        <v>0.73596139831909591</v>
      </c>
      <c r="K83" s="1">
        <f t="shared" si="13"/>
        <v>5.5472239088604907</v>
      </c>
      <c r="L83" s="1"/>
      <c r="O83" s="1">
        <v>3.323401871576769</v>
      </c>
      <c r="P83" s="1">
        <f t="shared" si="14"/>
        <v>0.88286810553269257</v>
      </c>
    </row>
    <row r="84" spans="1:16">
      <c r="A84" s="1">
        <f t="shared" si="18"/>
        <v>8.5999999999999854</v>
      </c>
      <c r="B84" s="1">
        <v>4.0300000000000002E-2</v>
      </c>
      <c r="C84" s="1">
        <v>0.23469999999999999</v>
      </c>
      <c r="D84" s="1"/>
      <c r="E84" s="9"/>
      <c r="F84" s="1">
        <f t="shared" si="10"/>
        <v>8.5999999999999854</v>
      </c>
      <c r="G84" s="1">
        <f t="shared" si="9"/>
        <v>3.0405591591021488</v>
      </c>
      <c r="H84" s="1">
        <f t="shared" si="11"/>
        <v>4.0300000000000002E-2</v>
      </c>
      <c r="I84" s="1">
        <f t="shared" si="12"/>
        <v>4.1021175969322546E-2</v>
      </c>
      <c r="J84" s="1">
        <f t="shared" si="17"/>
        <v>0.71577767608982612</v>
      </c>
      <c r="K84" s="1">
        <f t="shared" si="13"/>
        <v>5.5674076310897602</v>
      </c>
      <c r="L84" s="1"/>
      <c r="O84" s="1">
        <v>3.3941125496954232</v>
      </c>
      <c r="P84" s="1">
        <f t="shared" si="14"/>
        <v>0.88608044469547464</v>
      </c>
    </row>
    <row r="85" spans="1:16">
      <c r="A85" s="1">
        <f t="shared" si="18"/>
        <v>8.7999999999999847</v>
      </c>
      <c r="B85" s="1">
        <v>3.85E-2</v>
      </c>
      <c r="C85" s="1">
        <v>0.2344</v>
      </c>
      <c r="D85" s="1"/>
      <c r="E85" s="9"/>
      <c r="F85" s="1">
        <f t="shared" si="10"/>
        <v>8.7999999999999847</v>
      </c>
      <c r="G85" s="1">
        <f t="shared" si="9"/>
        <v>3.1112698372208034</v>
      </c>
      <c r="H85" s="1">
        <f t="shared" si="11"/>
        <v>3.85E-2</v>
      </c>
      <c r="I85" s="1">
        <f t="shared" si="12"/>
        <v>3.9239121160409555E-2</v>
      </c>
      <c r="J85" s="1">
        <f t="shared" si="17"/>
        <v>0.69937506731542498</v>
      </c>
      <c r="K85" s="1">
        <f t="shared" si="13"/>
        <v>5.5838102398641611</v>
      </c>
      <c r="L85" s="1"/>
      <c r="O85" s="1">
        <v>3.4648232278140778</v>
      </c>
      <c r="P85" s="1">
        <f t="shared" si="14"/>
        <v>0.88869100096152309</v>
      </c>
    </row>
    <row r="86" spans="1:16">
      <c r="A86" s="1">
        <f t="shared" si="18"/>
        <v>8.999999999999984</v>
      </c>
      <c r="B86" s="1">
        <v>3.6600000000000001E-2</v>
      </c>
      <c r="C86" s="1">
        <v>0.23430000000000001</v>
      </c>
      <c r="D86" s="1"/>
      <c r="E86" s="9"/>
      <c r="F86" s="1">
        <f t="shared" si="10"/>
        <v>8.999999999999984</v>
      </c>
      <c r="G86" s="1">
        <f t="shared" si="9"/>
        <v>3.181980515339458</v>
      </c>
      <c r="H86" s="1">
        <f t="shared" si="11"/>
        <v>3.6600000000000001E-2</v>
      </c>
      <c r="I86" s="1">
        <f t="shared" si="12"/>
        <v>3.7318565941101153E-2</v>
      </c>
      <c r="J86" s="1">
        <f t="shared" si="17"/>
        <v>0.68133162859507779</v>
      </c>
      <c r="K86" s="1">
        <f t="shared" si="13"/>
        <v>5.6018536785845088</v>
      </c>
      <c r="L86" s="1"/>
      <c r="O86" s="1">
        <v>3.5355339059327324</v>
      </c>
      <c r="P86" s="1">
        <f t="shared" si="14"/>
        <v>0.89156270342424204</v>
      </c>
    </row>
    <row r="87" spans="1:16">
      <c r="A87" s="1">
        <f t="shared" si="18"/>
        <v>9.1999999999999833</v>
      </c>
      <c r="B87" s="1">
        <v>3.49E-2</v>
      </c>
      <c r="C87" s="1">
        <v>0.2344</v>
      </c>
      <c r="D87" s="1"/>
      <c r="E87" s="9"/>
      <c r="F87" s="1">
        <f t="shared" si="10"/>
        <v>9.1999999999999833</v>
      </c>
      <c r="G87" s="1">
        <f t="shared" si="9"/>
        <v>3.2526911934581126</v>
      </c>
      <c r="H87" s="1">
        <f t="shared" si="11"/>
        <v>3.49E-2</v>
      </c>
      <c r="I87" s="1">
        <f t="shared" si="12"/>
        <v>3.557000853242321E-2</v>
      </c>
      <c r="J87" s="1">
        <f t="shared" si="17"/>
        <v>0.66454772992043576</v>
      </c>
      <c r="K87" s="1">
        <f t="shared" si="13"/>
        <v>5.6186375772591504</v>
      </c>
      <c r="L87" s="1"/>
      <c r="O87" s="1">
        <v>3.7123106012293694</v>
      </c>
      <c r="P87" s="1">
        <f t="shared" si="14"/>
        <v>0.89423394386266475</v>
      </c>
    </row>
    <row r="88" spans="1:16">
      <c r="A88" s="1">
        <f t="shared" si="18"/>
        <v>9.3999999999999826</v>
      </c>
      <c r="B88" s="1">
        <v>3.3300000000000003E-2</v>
      </c>
      <c r="C88" s="1">
        <v>0.23430000000000001</v>
      </c>
      <c r="D88" s="1"/>
      <c r="E88" s="9"/>
      <c r="F88" s="1">
        <f t="shared" si="10"/>
        <v>9.3999999999999826</v>
      </c>
      <c r="G88" s="1">
        <f t="shared" si="9"/>
        <v>3.3234018715767668</v>
      </c>
      <c r="H88" s="1">
        <f t="shared" si="11"/>
        <v>3.3300000000000003E-2</v>
      </c>
      <c r="I88" s="1">
        <f t="shared" si="12"/>
        <v>3.3953777208706792E-2</v>
      </c>
      <c r="J88" s="1">
        <f t="shared" si="17"/>
        <v>0.64870774678693477</v>
      </c>
      <c r="K88" s="1">
        <f t="shared" si="13"/>
        <v>5.6344775603926518</v>
      </c>
      <c r="L88" s="1"/>
      <c r="O88" s="1">
        <v>3.8890872965260059</v>
      </c>
      <c r="P88" s="1">
        <f t="shared" si="14"/>
        <v>0.8967549554768538</v>
      </c>
    </row>
    <row r="89" spans="1:16">
      <c r="A89" s="1">
        <f t="shared" si="18"/>
        <v>9.5999999999999819</v>
      </c>
      <c r="B89" s="1">
        <v>3.1699999999999999E-2</v>
      </c>
      <c r="C89" s="1">
        <v>0.23449999999999999</v>
      </c>
      <c r="D89" s="1"/>
      <c r="E89" s="9"/>
      <c r="F89" s="1">
        <f t="shared" si="10"/>
        <v>9.5999999999999819</v>
      </c>
      <c r="G89" s="1">
        <f t="shared" si="9"/>
        <v>3.3941125496954214</v>
      </c>
      <c r="H89" s="1">
        <f t="shared" si="11"/>
        <v>3.1699999999999999E-2</v>
      </c>
      <c r="I89" s="1">
        <f t="shared" si="12"/>
        <v>3.2294797441364605E-2</v>
      </c>
      <c r="J89" s="1">
        <f t="shared" si="17"/>
        <v>0.63209691892681741</v>
      </c>
      <c r="K89" s="1">
        <f t="shared" si="13"/>
        <v>5.6510883882527692</v>
      </c>
      <c r="L89" s="1"/>
      <c r="O89" s="1">
        <v>4.0658639918226429</v>
      </c>
      <c r="P89" s="1">
        <f t="shared" si="14"/>
        <v>0.89939865083963999</v>
      </c>
    </row>
    <row r="90" spans="1:16">
      <c r="A90" s="1">
        <f t="shared" si="18"/>
        <v>9.7999999999999812</v>
      </c>
      <c r="B90" s="1">
        <v>3.0300000000000001E-2</v>
      </c>
      <c r="C90" s="1">
        <v>0.23449999999999999</v>
      </c>
      <c r="D90" s="1"/>
      <c r="E90" s="9"/>
      <c r="F90" s="1">
        <f t="shared" si="10"/>
        <v>9.7999999999999812</v>
      </c>
      <c r="G90" s="1">
        <f t="shared" si="9"/>
        <v>3.464823227814076</v>
      </c>
      <c r="H90" s="1">
        <f t="shared" si="11"/>
        <v>3.0300000000000001E-2</v>
      </c>
      <c r="I90" s="1">
        <f t="shared" si="12"/>
        <v>3.0868528784648189E-2</v>
      </c>
      <c r="J90" s="1">
        <f t="shared" si="17"/>
        <v>0.61750904516187477</v>
      </c>
      <c r="K90" s="1">
        <f t="shared" si="13"/>
        <v>5.6656762620177119</v>
      </c>
      <c r="L90" s="1"/>
      <c r="O90" s="1">
        <v>4.2426406871192794</v>
      </c>
      <c r="P90" s="1">
        <f t="shared" si="14"/>
        <v>0.90172038305853131</v>
      </c>
    </row>
    <row r="91" spans="1:16">
      <c r="A91" s="1">
        <f>A90+0.2</f>
        <v>9.9999999999999805</v>
      </c>
      <c r="B91" s="1">
        <v>2.9100000000000001E-2</v>
      </c>
      <c r="C91" s="1">
        <v>0.23430000000000001</v>
      </c>
      <c r="D91" s="1"/>
      <c r="E91" s="9"/>
      <c r="F91" s="1">
        <f t="shared" si="10"/>
        <v>9.9999999999999805</v>
      </c>
      <c r="G91" s="1">
        <f t="shared" si="9"/>
        <v>3.5355339059327306</v>
      </c>
      <c r="H91" s="1">
        <f t="shared" si="11"/>
        <v>2.9100000000000001E-2</v>
      </c>
      <c r="I91" s="1">
        <f t="shared" si="12"/>
        <v>2.9671318822023045E-2</v>
      </c>
      <c r="J91" s="1">
        <f t="shared" si="17"/>
        <v>0.60502866335244665</v>
      </c>
      <c r="K91" s="1">
        <f t="shared" si="13"/>
        <v>5.6781566438271396</v>
      </c>
      <c r="L91" s="1"/>
      <c r="O91" s="1">
        <v>4.4194173824159169</v>
      </c>
      <c r="P91" s="1">
        <f t="shared" si="14"/>
        <v>0.90370669751517585</v>
      </c>
    </row>
    <row r="92" spans="1:16">
      <c r="A92" s="1">
        <f t="shared" ref="A92:A111" si="19">A91+0.5</f>
        <v>10.49999999999998</v>
      </c>
      <c r="B92" s="1">
        <v>2.6200000000000001E-2</v>
      </c>
      <c r="C92" s="1">
        <v>0.23400000000000001</v>
      </c>
      <c r="D92" s="1"/>
      <c r="E92" s="9"/>
      <c r="F92" s="1">
        <f t="shared" si="10"/>
        <v>10.49999999999998</v>
      </c>
      <c r="G92" s="1">
        <f t="shared" si="9"/>
        <v>3.7123106012293672</v>
      </c>
      <c r="H92" s="1">
        <f t="shared" si="11"/>
        <v>2.6200000000000001E-2</v>
      </c>
      <c r="I92" s="1">
        <f t="shared" si="12"/>
        <v>2.6748632478632479E-2</v>
      </c>
      <c r="J92" s="1">
        <f t="shared" si="17"/>
        <v>0.57356597593115499</v>
      </c>
      <c r="K92" s="1">
        <f t="shared" si="13"/>
        <v>5.7096193312484314</v>
      </c>
      <c r="L92" s="1"/>
      <c r="O92" s="1">
        <v>4.5961940777125534</v>
      </c>
      <c r="P92" s="1">
        <f t="shared" si="14"/>
        <v>0.90871413974122961</v>
      </c>
    </row>
    <row r="93" spans="1:16">
      <c r="A93" s="1">
        <f t="shared" si="19"/>
        <v>10.99999999999998</v>
      </c>
      <c r="B93" s="1">
        <v>2.3699999999999999E-2</v>
      </c>
      <c r="C93" s="1">
        <v>0.2339</v>
      </c>
      <c r="D93" s="1"/>
      <c r="E93" s="9"/>
      <c r="F93" s="1">
        <f t="shared" si="10"/>
        <v>10.99999999999998</v>
      </c>
      <c r="G93" s="1">
        <f t="shared" si="9"/>
        <v>3.8890872965260042</v>
      </c>
      <c r="H93" s="1">
        <f t="shared" si="11"/>
        <v>2.3699999999999999E-2</v>
      </c>
      <c r="I93" s="1">
        <f t="shared" si="12"/>
        <v>2.4206626763574178E-2</v>
      </c>
      <c r="J93" s="1">
        <f t="shared" si="17"/>
        <v>0.5448996006304716</v>
      </c>
      <c r="K93" s="1">
        <f t="shared" si="13"/>
        <v>5.7382857065491146</v>
      </c>
      <c r="L93" s="1"/>
      <c r="O93" s="1">
        <v>4.7729707730091908</v>
      </c>
      <c r="P93" s="1">
        <f t="shared" si="14"/>
        <v>0.91327653507086082</v>
      </c>
    </row>
    <row r="94" spans="1:16">
      <c r="A94" s="1">
        <f t="shared" si="19"/>
        <v>11.49999999999998</v>
      </c>
      <c r="B94" s="1">
        <v>2.1600000000000001E-2</v>
      </c>
      <c r="C94" s="1">
        <v>0.2341</v>
      </c>
      <c r="D94" s="1"/>
      <c r="E94" s="9"/>
      <c r="F94" s="1">
        <f t="shared" si="10"/>
        <v>11.49999999999998</v>
      </c>
      <c r="G94" s="1">
        <f t="shared" si="9"/>
        <v>4.0658639918226411</v>
      </c>
      <c r="H94" s="1">
        <f t="shared" si="11"/>
        <v>2.1600000000000001E-2</v>
      </c>
      <c r="I94" s="1">
        <f t="shared" si="12"/>
        <v>2.2042887654848357E-2</v>
      </c>
      <c r="J94" s="1">
        <f t="shared" si="17"/>
        <v>0.51938558075949603</v>
      </c>
      <c r="K94" s="1">
        <f t="shared" si="13"/>
        <v>5.76379972642009</v>
      </c>
      <c r="L94" s="1"/>
      <c r="O94" s="1">
        <v>4.9497474683058273</v>
      </c>
      <c r="P94" s="1">
        <f t="shared" si="14"/>
        <v>0.91733721745147134</v>
      </c>
    </row>
    <row r="95" spans="1:16">
      <c r="A95" s="1">
        <f t="shared" si="19"/>
        <v>11.99999999999998</v>
      </c>
      <c r="B95" s="1">
        <v>1.9699999999999999E-2</v>
      </c>
      <c r="C95" s="1">
        <v>0.23449999999999999</v>
      </c>
      <c r="D95" s="1"/>
      <c r="E95" s="9"/>
      <c r="F95" s="1">
        <f t="shared" si="10"/>
        <v>11.99999999999998</v>
      </c>
      <c r="G95" s="1">
        <f t="shared" si="9"/>
        <v>4.2426406871192777</v>
      </c>
      <c r="H95" s="1">
        <f t="shared" si="11"/>
        <v>1.9699999999999999E-2</v>
      </c>
      <c r="I95" s="1">
        <f t="shared" si="12"/>
        <v>2.0069637526652452E-2</v>
      </c>
      <c r="J95" s="1">
        <f t="shared" si="17"/>
        <v>0.49508222807373015</v>
      </c>
      <c r="K95" s="1">
        <f t="shared" si="13"/>
        <v>5.7881030791058556</v>
      </c>
      <c r="L95" s="1"/>
      <c r="O95" s="1">
        <v>5.1265241636024639</v>
      </c>
      <c r="P95" s="1">
        <f t="shared" si="14"/>
        <v>0.92120521616511664</v>
      </c>
    </row>
    <row r="96" spans="1:16">
      <c r="A96" s="1">
        <f t="shared" si="19"/>
        <v>12.49999999999998</v>
      </c>
      <c r="B96" s="1">
        <v>1.8100000000000002E-2</v>
      </c>
      <c r="C96" s="1">
        <v>0.2344</v>
      </c>
      <c r="D96" s="1"/>
      <c r="E96" s="9"/>
      <c r="F96" s="1">
        <f t="shared" si="10"/>
        <v>12.49999999999998</v>
      </c>
      <c r="G96" s="1">
        <f t="shared" si="9"/>
        <v>4.4194173824159151</v>
      </c>
      <c r="H96" s="1">
        <f t="shared" si="11"/>
        <v>1.8100000000000002E-2</v>
      </c>
      <c r="I96" s="1">
        <f t="shared" si="12"/>
        <v>1.8447482935153584E-2</v>
      </c>
      <c r="J96" s="1">
        <f t="shared" si="17"/>
        <v>0.47425216050550456</v>
      </c>
      <c r="K96" s="1">
        <f t="shared" si="13"/>
        <v>5.8089331466740814</v>
      </c>
      <c r="L96" s="1"/>
      <c r="O96" s="1">
        <v>5.3033008588991013</v>
      </c>
      <c r="P96" s="1">
        <f t="shared" si="14"/>
        <v>0.92452042438353799</v>
      </c>
    </row>
    <row r="97" spans="1:16">
      <c r="A97" s="1">
        <f t="shared" si="19"/>
        <v>12.99999999999998</v>
      </c>
      <c r="B97" s="1">
        <v>1.67E-2</v>
      </c>
      <c r="C97" s="1">
        <v>0.2341</v>
      </c>
      <c r="D97" s="1"/>
      <c r="E97" s="9"/>
      <c r="F97" s="1">
        <f t="shared" si="10"/>
        <v>12.99999999999998</v>
      </c>
      <c r="G97" s="1">
        <f t="shared" si="9"/>
        <v>4.5961940777125516</v>
      </c>
      <c r="H97" s="1">
        <f t="shared" si="11"/>
        <v>1.67E-2</v>
      </c>
      <c r="I97" s="1">
        <f t="shared" si="12"/>
        <v>1.7042417770183681E-2</v>
      </c>
      <c r="J97" s="1">
        <f t="shared" si="17"/>
        <v>0.45550143520344633</v>
      </c>
      <c r="K97" s="1">
        <f t="shared" si="13"/>
        <v>5.8276838719761397</v>
      </c>
      <c r="L97" s="1"/>
      <c r="O97" s="1">
        <v>5.4800775541957378</v>
      </c>
      <c r="P97" s="1">
        <f t="shared" si="14"/>
        <v>0.92750469500191879</v>
      </c>
    </row>
    <row r="98" spans="1:16">
      <c r="A98" s="1">
        <f t="shared" si="19"/>
        <v>13.49999999999998</v>
      </c>
      <c r="B98" s="1">
        <v>1.54E-2</v>
      </c>
      <c r="C98" s="1">
        <v>0.2344</v>
      </c>
      <c r="D98" s="1"/>
      <c r="E98" s="9"/>
      <c r="F98" s="1">
        <f t="shared" si="10"/>
        <v>13.49999999999998</v>
      </c>
      <c r="G98" s="1">
        <f t="shared" si="9"/>
        <v>4.7729707730091882</v>
      </c>
      <c r="H98" s="1">
        <f t="shared" si="11"/>
        <v>1.54E-2</v>
      </c>
      <c r="I98" s="1">
        <f t="shared" si="12"/>
        <v>1.5695648464163822E-2</v>
      </c>
      <c r="J98" s="1">
        <f t="shared" si="17"/>
        <v>0.43682879676467046</v>
      </c>
      <c r="K98" s="1">
        <f t="shared" si="13"/>
        <v>5.8463565104149158</v>
      </c>
      <c r="L98" s="1"/>
      <c r="O98" s="1">
        <v>5.6568542494923744</v>
      </c>
      <c r="P98" s="1">
        <f t="shared" si="14"/>
        <v>0.9304765377100177</v>
      </c>
    </row>
    <row r="99" spans="1:16">
      <c r="A99" s="1">
        <f t="shared" si="19"/>
        <v>13.99999999999998</v>
      </c>
      <c r="B99" s="1">
        <v>1.4200000000000001E-2</v>
      </c>
      <c r="C99" s="1">
        <v>0.2344</v>
      </c>
      <c r="D99" s="1"/>
      <c r="E99" s="9"/>
      <c r="F99" s="1">
        <f t="shared" si="10"/>
        <v>13.99999999999998</v>
      </c>
      <c r="G99" s="1">
        <f t="shared" si="9"/>
        <v>4.9497474683058256</v>
      </c>
      <c r="H99" s="1">
        <f t="shared" si="11"/>
        <v>1.4200000000000001E-2</v>
      </c>
      <c r="I99" s="1">
        <f t="shared" si="12"/>
        <v>1.4472610921501709E-2</v>
      </c>
      <c r="J99" s="1">
        <f t="shared" si="17"/>
        <v>0.41919988634296379</v>
      </c>
      <c r="K99" s="1">
        <f t="shared" si="13"/>
        <v>5.863985420836622</v>
      </c>
      <c r="L99" s="1"/>
      <c r="O99" s="1">
        <v>5.8336309447890118</v>
      </c>
      <c r="P99" s="1">
        <f t="shared" si="14"/>
        <v>0.93328226594495656</v>
      </c>
    </row>
    <row r="100" spans="1:16">
      <c r="A100" s="1">
        <f t="shared" si="19"/>
        <v>14.49999999999998</v>
      </c>
      <c r="B100" s="1">
        <v>1.32E-2</v>
      </c>
      <c r="C100" s="1">
        <v>0.2346</v>
      </c>
      <c r="D100" s="1"/>
      <c r="E100" s="9"/>
      <c r="F100" s="1">
        <f t="shared" si="10"/>
        <v>14.49999999999998</v>
      </c>
      <c r="G100" s="1">
        <f t="shared" si="9"/>
        <v>5.1265241636024621</v>
      </c>
      <c r="H100" s="1">
        <f t="shared" si="11"/>
        <v>1.32E-2</v>
      </c>
      <c r="I100" s="1">
        <f t="shared" si="12"/>
        <v>1.3441943734015346E-2</v>
      </c>
      <c r="J100" s="1">
        <f t="shared" si="17"/>
        <v>0.40378344699719415</v>
      </c>
      <c r="K100" s="1">
        <f t="shared" si="13"/>
        <v>5.8794018601823925</v>
      </c>
      <c r="L100" s="1"/>
      <c r="O100" s="1">
        <v>6.0104076400856483</v>
      </c>
      <c r="P100" s="1">
        <f t="shared" si="14"/>
        <v>0.93573586847171231</v>
      </c>
    </row>
    <row r="101" spans="1:16">
      <c r="A101" s="1">
        <f t="shared" si="19"/>
        <v>14.99999999999998</v>
      </c>
      <c r="B101" s="1">
        <v>1.23E-2</v>
      </c>
      <c r="C101" s="1">
        <v>0.2346</v>
      </c>
      <c r="D101" s="1"/>
      <c r="E101" s="9"/>
      <c r="F101" s="1">
        <f t="shared" si="10"/>
        <v>14.99999999999998</v>
      </c>
      <c r="G101" s="1">
        <f t="shared" si="9"/>
        <v>5.3033008588990995</v>
      </c>
      <c r="H101" s="1">
        <f t="shared" si="11"/>
        <v>1.23E-2</v>
      </c>
      <c r="I101" s="1">
        <f t="shared" si="12"/>
        <v>1.2525447570332479E-2</v>
      </c>
      <c r="J101" s="1">
        <f t="shared" si="17"/>
        <v>0.389591812253403</v>
      </c>
      <c r="K101" s="1">
        <f t="shared" si="13"/>
        <v>5.8935934949261828</v>
      </c>
      <c r="L101" s="1"/>
      <c r="O101" s="1">
        <v>6.1871843353822857</v>
      </c>
      <c r="P101" s="1">
        <f t="shared" si="14"/>
        <v>0.9379945372917412</v>
      </c>
    </row>
    <row r="102" spans="1:16">
      <c r="A102" s="1">
        <f t="shared" si="19"/>
        <v>15.49999999999998</v>
      </c>
      <c r="B102" s="1">
        <v>1.15E-2</v>
      </c>
      <c r="C102" s="1">
        <v>0.23449999999999999</v>
      </c>
      <c r="D102" s="1"/>
      <c r="E102" s="9"/>
      <c r="F102" s="1">
        <f t="shared" si="10"/>
        <v>15.49999999999998</v>
      </c>
      <c r="G102" s="1">
        <f t="shared" si="9"/>
        <v>5.4800775541957361</v>
      </c>
      <c r="H102" s="1">
        <f t="shared" si="11"/>
        <v>1.15E-2</v>
      </c>
      <c r="I102" s="1">
        <f t="shared" si="12"/>
        <v>1.1715778251599147E-2</v>
      </c>
      <c r="J102" s="1">
        <f t="shared" si="17"/>
        <v>0.37663324337417481</v>
      </c>
      <c r="K102" s="1">
        <f t="shared" si="13"/>
        <v>5.9065520638054112</v>
      </c>
      <c r="L102" s="1"/>
      <c r="O102" s="1">
        <v>6.3639610306789223</v>
      </c>
      <c r="P102" s="1">
        <f t="shared" si="14"/>
        <v>0.94005695758426722</v>
      </c>
    </row>
    <row r="103" spans="1:16">
      <c r="A103" s="1">
        <f t="shared" si="19"/>
        <v>15.99999999999998</v>
      </c>
      <c r="B103" s="1">
        <v>1.0699999999999999E-2</v>
      </c>
      <c r="C103" s="1">
        <v>0.2344</v>
      </c>
      <c r="D103" s="1"/>
      <c r="E103" s="9"/>
      <c r="F103" s="1">
        <f t="shared" si="10"/>
        <v>15.99999999999998</v>
      </c>
      <c r="G103" s="1">
        <f t="shared" si="9"/>
        <v>5.6568542494923726</v>
      </c>
      <c r="H103" s="1">
        <f t="shared" si="11"/>
        <v>1.0699999999999999E-2</v>
      </c>
      <c r="I103" s="1">
        <f t="shared" si="12"/>
        <v>1.0905418088737202E-2</v>
      </c>
      <c r="J103" s="1">
        <f t="shared" si="17"/>
        <v>0.36322380199690274</v>
      </c>
      <c r="K103" s="1">
        <f t="shared" si="13"/>
        <v>5.9199615051826839</v>
      </c>
      <c r="L103" s="1"/>
      <c r="O103" s="1">
        <v>6.5407377259755588</v>
      </c>
      <c r="P103" s="1">
        <f t="shared" si="14"/>
        <v>0.94219113646356112</v>
      </c>
    </row>
    <row r="104" spans="1:16">
      <c r="A104" s="1">
        <f t="shared" si="19"/>
        <v>16.499999999999979</v>
      </c>
      <c r="B104" s="1">
        <v>1.01E-2</v>
      </c>
      <c r="C104" s="1">
        <v>0.23449999999999999</v>
      </c>
      <c r="D104" s="1"/>
      <c r="E104" s="9"/>
      <c r="F104" s="1">
        <f t="shared" si="10"/>
        <v>16.499999999999979</v>
      </c>
      <c r="G104" s="1">
        <f t="shared" si="9"/>
        <v>5.8336309447890091</v>
      </c>
      <c r="H104" s="1">
        <f t="shared" si="11"/>
        <v>1.01E-2</v>
      </c>
      <c r="I104" s="1">
        <f t="shared" si="12"/>
        <v>1.028950959488273E-2</v>
      </c>
      <c r="J104" s="1">
        <f t="shared" si="17"/>
        <v>0.35270688514232473</v>
      </c>
      <c r="K104" s="1">
        <f t="shared" si="13"/>
        <v>5.9304784220372611</v>
      </c>
      <c r="L104" s="1"/>
      <c r="O104" s="1">
        <v>6.7175144212721962</v>
      </c>
      <c r="P104" s="1">
        <f t="shared" si="14"/>
        <v>0.94386495576705354</v>
      </c>
    </row>
    <row r="105" spans="1:16">
      <c r="A105" s="1">
        <f t="shared" si="19"/>
        <v>16.999999999999979</v>
      </c>
      <c r="B105" s="1">
        <v>9.4999999999999998E-3</v>
      </c>
      <c r="C105" s="1">
        <v>0.2339</v>
      </c>
      <c r="D105" s="1"/>
      <c r="E105" s="9"/>
      <c r="F105" s="1">
        <f t="shared" si="10"/>
        <v>16.999999999999979</v>
      </c>
      <c r="G105" s="1">
        <f t="shared" si="9"/>
        <v>6.0104076400856457</v>
      </c>
      <c r="H105" s="1">
        <f t="shared" si="11"/>
        <v>9.4999999999999998E-3</v>
      </c>
      <c r="I105" s="1">
        <f t="shared" si="12"/>
        <v>9.7030782385634888E-3</v>
      </c>
      <c r="J105" s="1">
        <f t="shared" si="17"/>
        <v>0.34240613413789034</v>
      </c>
      <c r="K105" s="1">
        <f t="shared" si="13"/>
        <v>5.9407791730416957</v>
      </c>
      <c r="L105" s="1"/>
      <c r="O105" s="1">
        <v>6.8942911165688328</v>
      </c>
      <c r="P105" s="1">
        <f t="shared" si="14"/>
        <v>0.94550437120696817</v>
      </c>
    </row>
    <row r="106" spans="1:16">
      <c r="A106" s="1">
        <f t="shared" si="19"/>
        <v>17.499999999999979</v>
      </c>
      <c r="B106" s="1">
        <v>8.8999999999999999E-3</v>
      </c>
      <c r="C106" s="1">
        <v>0.23430000000000001</v>
      </c>
      <c r="D106" s="1"/>
      <c r="E106" s="9"/>
      <c r="F106" s="1">
        <f t="shared" si="10"/>
        <v>17.499999999999979</v>
      </c>
      <c r="G106" s="1">
        <f t="shared" si="9"/>
        <v>6.1871843353822831</v>
      </c>
      <c r="H106" s="1">
        <f t="shared" si="11"/>
        <v>8.8999999999999999E-3</v>
      </c>
      <c r="I106" s="1">
        <f t="shared" si="12"/>
        <v>9.0747332479726838E-3</v>
      </c>
      <c r="J106" s="1">
        <f t="shared" si="17"/>
        <v>0.33102804196708902</v>
      </c>
      <c r="K106" s="1">
        <f t="shared" si="13"/>
        <v>5.952157265212497</v>
      </c>
      <c r="L106" s="1"/>
      <c r="O106" s="1">
        <v>7.0710678118654702</v>
      </c>
      <c r="P106" s="1">
        <f t="shared" si="14"/>
        <v>0.94731525081890633</v>
      </c>
    </row>
    <row r="107" spans="1:16">
      <c r="A107" s="1">
        <f t="shared" si="19"/>
        <v>17.999999999999979</v>
      </c>
      <c r="B107" s="1">
        <v>8.3999999999999995E-3</v>
      </c>
      <c r="C107" s="1">
        <v>0.2344</v>
      </c>
      <c r="D107" s="1"/>
      <c r="E107" s="9"/>
      <c r="F107" s="1">
        <f t="shared" si="10"/>
        <v>17.999999999999979</v>
      </c>
      <c r="G107" s="1">
        <f t="shared" si="9"/>
        <v>6.3639610306789196</v>
      </c>
      <c r="H107" s="1">
        <f t="shared" si="11"/>
        <v>8.3999999999999995E-3</v>
      </c>
      <c r="I107" s="1">
        <f t="shared" si="12"/>
        <v>8.5612627986348111E-3</v>
      </c>
      <c r="J107" s="1">
        <f t="shared" ref="J107:J111" si="20">ACOS(1-2*(I107/MAX(I$3:I$111)))</f>
        <v>0.32144256872702837</v>
      </c>
      <c r="K107" s="1">
        <f t="shared" si="13"/>
        <v>5.9617427384525579</v>
      </c>
      <c r="L107" s="1"/>
      <c r="P107" s="1">
        <f t="shared" si="14"/>
        <v>0.94884082626693711</v>
      </c>
    </row>
    <row r="108" spans="1:16">
      <c r="A108" s="1">
        <f t="shared" si="19"/>
        <v>18.499999999999979</v>
      </c>
      <c r="B108" s="1">
        <v>8.0000000000000002E-3</v>
      </c>
      <c r="C108" s="1">
        <v>0.2341</v>
      </c>
      <c r="D108" s="1"/>
      <c r="E108" s="9"/>
      <c r="F108" s="1">
        <f t="shared" si="10"/>
        <v>18.499999999999979</v>
      </c>
      <c r="G108" s="1">
        <f t="shared" si="9"/>
        <v>6.540737725975557</v>
      </c>
      <c r="H108" s="1">
        <f t="shared" si="11"/>
        <v>8.0000000000000002E-3</v>
      </c>
      <c r="I108" s="1">
        <f t="shared" si="12"/>
        <v>8.1640324647586499E-3</v>
      </c>
      <c r="J108" s="1">
        <f t="shared" si="20"/>
        <v>0.31383344019846859</v>
      </c>
      <c r="K108" s="1">
        <f t="shared" si="13"/>
        <v>5.9693518669811176</v>
      </c>
      <c r="L108" s="1"/>
      <c r="P108" s="1">
        <f t="shared" si="14"/>
        <v>0.95005185668487901</v>
      </c>
    </row>
    <row r="109" spans="1:16">
      <c r="A109" s="1">
        <f t="shared" si="19"/>
        <v>18.999999999999979</v>
      </c>
      <c r="B109" s="1">
        <v>7.4999999999999997E-3</v>
      </c>
      <c r="C109" s="1">
        <v>0.2339</v>
      </c>
      <c r="D109" s="1"/>
      <c r="E109" s="9"/>
      <c r="F109" s="1">
        <f t="shared" si="10"/>
        <v>18.999999999999979</v>
      </c>
      <c r="G109" s="1">
        <f t="shared" si="9"/>
        <v>6.7175144212721936</v>
      </c>
      <c r="H109" s="1">
        <f t="shared" si="11"/>
        <v>7.4999999999999997E-3</v>
      </c>
      <c r="I109" s="1">
        <f t="shared" si="12"/>
        <v>7.6603249251817017E-3</v>
      </c>
      <c r="J109" s="1">
        <f t="shared" si="20"/>
        <v>0.30392012402550139</v>
      </c>
      <c r="K109" s="1">
        <f t="shared" si="13"/>
        <v>5.9792651831540846</v>
      </c>
      <c r="L109" s="1"/>
      <c r="P109" s="1">
        <f t="shared" si="14"/>
        <v>0.95162960995623946</v>
      </c>
    </row>
    <row r="110" spans="1:16">
      <c r="A110" s="1">
        <f t="shared" si="19"/>
        <v>19.499999999999979</v>
      </c>
      <c r="B110" s="1">
        <v>7.1000000000000004E-3</v>
      </c>
      <c r="C110" s="1">
        <v>0.2339</v>
      </c>
      <c r="D110" s="1"/>
      <c r="E110" s="9"/>
      <c r="F110" s="1">
        <f t="shared" si="10"/>
        <v>19.499999999999979</v>
      </c>
      <c r="G110" s="1">
        <f t="shared" si="9"/>
        <v>6.8942911165688301</v>
      </c>
      <c r="H110" s="1">
        <f t="shared" si="11"/>
        <v>7.1000000000000004E-3</v>
      </c>
      <c r="I110" s="1">
        <f t="shared" si="12"/>
        <v>7.2517742625053455E-3</v>
      </c>
      <c r="J110" s="1">
        <f t="shared" si="20"/>
        <v>0.29564331732450322</v>
      </c>
      <c r="K110" s="1">
        <f t="shared" si="13"/>
        <v>5.9875419898550835</v>
      </c>
      <c r="L110" s="1"/>
      <c r="P110" s="1">
        <f t="shared" si="14"/>
        <v>0.95294690465571963</v>
      </c>
    </row>
    <row r="111" spans="1:16">
      <c r="A111" s="1">
        <f t="shared" si="19"/>
        <v>19.999999999999979</v>
      </c>
      <c r="B111" s="1">
        <v>6.7999999999999996E-3</v>
      </c>
      <c r="C111" s="1">
        <v>0.2339</v>
      </c>
      <c r="D111" s="1"/>
      <c r="E111" s="9"/>
      <c r="F111" s="1">
        <f t="shared" si="10"/>
        <v>19.999999999999979</v>
      </c>
      <c r="G111" s="1">
        <f t="shared" si="9"/>
        <v>7.0710678118654675</v>
      </c>
      <c r="H111" s="1">
        <f t="shared" si="11"/>
        <v>6.7999999999999996E-3</v>
      </c>
      <c r="I111" s="1">
        <f t="shared" si="12"/>
        <v>6.9453612654980764E-3</v>
      </c>
      <c r="J111" s="1">
        <f t="shared" si="20"/>
        <v>0.2892850247655554</v>
      </c>
      <c r="K111" s="1">
        <f t="shared" si="13"/>
        <v>5.9939002824140308</v>
      </c>
      <c r="L111" s="1"/>
      <c r="P111" s="1">
        <f t="shared" si="14"/>
        <v>0.9539588583461005</v>
      </c>
    </row>
    <row r="112" spans="1:16">
      <c r="A112" s="1"/>
      <c r="B112" s="1"/>
      <c r="C112" s="1"/>
      <c r="D112" s="1"/>
      <c r="E112" s="9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9"/>
      <c r="F113" s="1"/>
      <c r="G113" s="1"/>
      <c r="H113" s="1"/>
      <c r="I113" s="1"/>
      <c r="J113" s="1"/>
      <c r="K113" s="1"/>
      <c r="L113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6"/>
  <sheetViews>
    <sheetView tabSelected="1" workbookViewId="0">
      <selection activeCell="K2" sqref="K2"/>
    </sheetView>
  </sheetViews>
  <sheetFormatPr defaultColWidth="8.81640625" defaultRowHeight="12"/>
  <cols>
    <col min="1" max="9" width="8.81640625" style="12"/>
    <col min="10" max="10" width="15.26953125" style="12" customWidth="1"/>
    <col min="11" max="11" width="15.7265625" style="12" customWidth="1"/>
    <col min="12" max="13" width="8.81640625" style="12"/>
    <col min="14" max="14" width="6.54296875" style="12" customWidth="1"/>
    <col min="15" max="15" width="13.453125" style="12" customWidth="1"/>
    <col min="16" max="16" width="22.1796875" style="12" customWidth="1"/>
    <col min="17" max="16384" width="8.81640625" style="12"/>
  </cols>
  <sheetData>
    <row r="1" spans="1:16">
      <c r="A1" s="13" t="s">
        <v>0</v>
      </c>
      <c r="B1" s="13" t="s">
        <v>22</v>
      </c>
      <c r="C1" s="13" t="s">
        <v>23</v>
      </c>
      <c r="D1" s="13" t="s">
        <v>3</v>
      </c>
      <c r="F1" s="14" t="s">
        <v>4</v>
      </c>
      <c r="G1" s="14" t="s">
        <v>5</v>
      </c>
      <c r="H1" s="14" t="s">
        <v>25</v>
      </c>
      <c r="I1" s="14" t="s">
        <v>3</v>
      </c>
      <c r="J1" s="14" t="s">
        <v>26</v>
      </c>
      <c r="K1" s="14" t="s">
        <v>27</v>
      </c>
      <c r="O1" s="13" t="s">
        <v>5</v>
      </c>
      <c r="P1" s="13" t="s">
        <v>24</v>
      </c>
    </row>
    <row r="2" spans="1:16">
      <c r="A2" s="13">
        <v>0.1</v>
      </c>
      <c r="B2" s="13">
        <v>105.22</v>
      </c>
      <c r="C2" s="13">
        <v>168.7</v>
      </c>
      <c r="D2" s="13"/>
      <c r="F2" s="14">
        <v>0.1</v>
      </c>
      <c r="G2" s="14">
        <f>F2/2/SQRT(2)</f>
        <v>3.5355339059327376E-2</v>
      </c>
      <c r="H2" s="14">
        <v>105.22</v>
      </c>
      <c r="I2" s="14">
        <f>H2*MAX(C$2:C$126)/C2</f>
        <v>105.28237107291051</v>
      </c>
      <c r="J2" s="14">
        <f>ACOS(1-2*(I2/MAX(I$2:I$126)))</f>
        <v>1.6854102662638346</v>
      </c>
      <c r="K2" s="14">
        <f>2*J$39-J2</f>
        <v>4.5977750409157512</v>
      </c>
      <c r="O2" s="13">
        <f>G2</f>
        <v>3.5355339059327376E-2</v>
      </c>
      <c r="P2" s="13">
        <f>K2/2/PI()</f>
        <v>0.73175862498628319</v>
      </c>
    </row>
    <row r="3" spans="1:16">
      <c r="A3" s="13">
        <v>0.2</v>
      </c>
      <c r="B3" s="13">
        <v>105.07</v>
      </c>
      <c r="C3" s="13">
        <v>168.7</v>
      </c>
      <c r="D3" s="13"/>
      <c r="F3" s="14">
        <v>0.2</v>
      </c>
      <c r="G3" s="14">
        <f t="shared" ref="G3:G66" si="0">F3/2/SQRT(2)</f>
        <v>7.0710678118654752E-2</v>
      </c>
      <c r="H3" s="14">
        <v>105.07</v>
      </c>
      <c r="I3" s="14">
        <f t="shared" ref="I3:I66" si="1">H3*MAX(C$2:C$126)/C3</f>
        <v>105.13228215767634</v>
      </c>
      <c r="J3" s="14">
        <f t="shared" ref="J3:J66" si="2">ACOS(1-2*(I3/MAX(I$2:I$126)))</f>
        <v>1.6838113021437948</v>
      </c>
      <c r="K3" s="14">
        <f t="shared" ref="K3:K39" si="3">2*J$39-J3</f>
        <v>4.5993740050357914</v>
      </c>
      <c r="O3" s="13">
        <f t="shared" ref="O3:O66" si="4">G3</f>
        <v>7.0710678118654752E-2</v>
      </c>
      <c r="P3" s="13">
        <f t="shared" ref="P3:P66" si="5">K3/2/PI()</f>
        <v>0.73201310802981412</v>
      </c>
    </row>
    <row r="4" spans="1:16">
      <c r="A4" s="13">
        <v>0.30000000000000004</v>
      </c>
      <c r="B4" s="13">
        <v>105.01</v>
      </c>
      <c r="C4" s="13">
        <v>168.8</v>
      </c>
      <c r="D4" s="13"/>
      <c r="F4" s="14">
        <v>0.30000000000000004</v>
      </c>
      <c r="G4" s="14">
        <f t="shared" si="0"/>
        <v>0.10606601717798214</v>
      </c>
      <c r="H4" s="14">
        <v>105.01</v>
      </c>
      <c r="I4" s="14">
        <f t="shared" si="1"/>
        <v>105.01</v>
      </c>
      <c r="J4" s="14">
        <f t="shared" si="2"/>
        <v>1.682508790481168</v>
      </c>
      <c r="K4" s="14">
        <f t="shared" si="3"/>
        <v>4.6006765166984183</v>
      </c>
      <c r="O4" s="13">
        <f t="shared" si="4"/>
        <v>0.10606601717798214</v>
      </c>
      <c r="P4" s="13">
        <f t="shared" si="5"/>
        <v>0.73222040919935605</v>
      </c>
    </row>
    <row r="5" spans="1:16">
      <c r="A5" s="13">
        <v>0.4</v>
      </c>
      <c r="B5" s="13">
        <v>105.19</v>
      </c>
      <c r="C5" s="13">
        <v>168.7</v>
      </c>
      <c r="D5" s="13"/>
      <c r="F5" s="14">
        <v>0.4</v>
      </c>
      <c r="G5" s="14">
        <f t="shared" si="0"/>
        <v>0.1414213562373095</v>
      </c>
      <c r="H5" s="14">
        <v>105.19</v>
      </c>
      <c r="I5" s="14">
        <f t="shared" si="1"/>
        <v>105.25235328986368</v>
      </c>
      <c r="J5" s="14">
        <f t="shared" si="2"/>
        <v>1.6850904500257682</v>
      </c>
      <c r="K5" s="14">
        <f t="shared" si="3"/>
        <v>4.5980948571538178</v>
      </c>
      <c r="O5" s="13">
        <f t="shared" si="4"/>
        <v>0.1414213562373095</v>
      </c>
      <c r="P5" s="13">
        <f t="shared" si="5"/>
        <v>0.73180952532145249</v>
      </c>
    </row>
    <row r="6" spans="1:16">
      <c r="A6" s="13">
        <v>0.5</v>
      </c>
      <c r="B6" s="13">
        <v>105.26</v>
      </c>
      <c r="C6" s="13">
        <v>168.7</v>
      </c>
      <c r="D6" s="13"/>
      <c r="F6" s="14">
        <v>0.5</v>
      </c>
      <c r="G6" s="14">
        <f t="shared" si="0"/>
        <v>0.17677669529663687</v>
      </c>
      <c r="H6" s="14">
        <v>105.26</v>
      </c>
      <c r="I6" s="14">
        <f t="shared" si="1"/>
        <v>105.32239478363962</v>
      </c>
      <c r="J6" s="14">
        <f t="shared" si="2"/>
        <v>1.6858367062371815</v>
      </c>
      <c r="K6" s="14">
        <f t="shared" si="3"/>
        <v>4.5973486009424045</v>
      </c>
      <c r="O6" s="13">
        <f t="shared" si="4"/>
        <v>0.17677669529663687</v>
      </c>
      <c r="P6" s="13">
        <f t="shared" si="5"/>
        <v>0.73169075495659308</v>
      </c>
    </row>
    <row r="7" spans="1:16">
      <c r="A7" s="13">
        <v>0.6</v>
      </c>
      <c r="B7" s="13">
        <v>105.26</v>
      </c>
      <c r="C7" s="13">
        <v>168.8</v>
      </c>
      <c r="D7" s="13"/>
      <c r="F7" s="14">
        <v>0.6</v>
      </c>
      <c r="G7" s="14">
        <f t="shared" si="0"/>
        <v>0.21213203435596423</v>
      </c>
      <c r="H7" s="14">
        <v>105.26</v>
      </c>
      <c r="I7" s="14">
        <f t="shared" si="1"/>
        <v>105.26</v>
      </c>
      <c r="J7" s="14">
        <f t="shared" si="2"/>
        <v>1.6851719186862029</v>
      </c>
      <c r="K7" s="14">
        <f t="shared" si="3"/>
        <v>4.5980133884933831</v>
      </c>
      <c r="O7" s="13">
        <f t="shared" si="4"/>
        <v>0.21213203435596423</v>
      </c>
      <c r="P7" s="13">
        <f t="shared" si="5"/>
        <v>0.73179655918143727</v>
      </c>
    </row>
    <row r="8" spans="1:16">
      <c r="A8" s="13">
        <v>0.7</v>
      </c>
      <c r="B8" s="13">
        <v>105.44</v>
      </c>
      <c r="C8" s="13">
        <v>168.6</v>
      </c>
      <c r="D8" s="13"/>
      <c r="F8" s="14">
        <v>0.7</v>
      </c>
      <c r="G8" s="14">
        <f t="shared" si="0"/>
        <v>0.24748737341529159</v>
      </c>
      <c r="H8" s="14">
        <v>105.44</v>
      </c>
      <c r="I8" s="14">
        <f t="shared" si="1"/>
        <v>105.56507710557534</v>
      </c>
      <c r="J8" s="14">
        <f t="shared" si="2"/>
        <v>1.6884228625097244</v>
      </c>
      <c r="K8" s="14">
        <f t="shared" si="3"/>
        <v>4.5947624446698621</v>
      </c>
      <c r="O8" s="13">
        <f t="shared" si="4"/>
        <v>0.24748737341529159</v>
      </c>
      <c r="P8" s="13">
        <f t="shared" si="5"/>
        <v>0.73127915540220978</v>
      </c>
    </row>
    <row r="9" spans="1:16">
      <c r="A9" s="13">
        <v>0.79999999999999993</v>
      </c>
      <c r="B9" s="13">
        <v>105.62</v>
      </c>
      <c r="C9" s="13">
        <v>168.6</v>
      </c>
      <c r="D9" s="13"/>
      <c r="F9" s="14">
        <v>0.79999999999999993</v>
      </c>
      <c r="G9" s="14">
        <f t="shared" si="0"/>
        <v>0.28284271247461895</v>
      </c>
      <c r="H9" s="14">
        <v>105.62</v>
      </c>
      <c r="I9" s="14">
        <f t="shared" si="1"/>
        <v>105.74529062870702</v>
      </c>
      <c r="J9" s="14">
        <f t="shared" si="2"/>
        <v>1.6903438274414184</v>
      </c>
      <c r="K9" s="14">
        <f t="shared" si="3"/>
        <v>4.5928414797381674</v>
      </c>
      <c r="O9" s="13">
        <f t="shared" si="4"/>
        <v>0.28284271247461895</v>
      </c>
      <c r="P9" s="13">
        <f t="shared" si="5"/>
        <v>0.73097342433782442</v>
      </c>
    </row>
    <row r="10" spans="1:16">
      <c r="A10" s="13">
        <v>0.89999999999999991</v>
      </c>
      <c r="B10" s="13">
        <v>106.11</v>
      </c>
      <c r="C10" s="13">
        <v>168.7</v>
      </c>
      <c r="D10" s="13"/>
      <c r="F10" s="14">
        <v>0.89999999999999991</v>
      </c>
      <c r="G10" s="14">
        <f t="shared" si="0"/>
        <v>0.31819805153394631</v>
      </c>
      <c r="H10" s="14">
        <v>106.11</v>
      </c>
      <c r="I10" s="14">
        <f t="shared" si="1"/>
        <v>106.17289863663309</v>
      </c>
      <c r="J10" s="14">
        <f t="shared" si="2"/>
        <v>1.6949036525359871</v>
      </c>
      <c r="K10" s="14">
        <f t="shared" si="3"/>
        <v>4.5882816546435992</v>
      </c>
      <c r="O10" s="13">
        <f t="shared" si="4"/>
        <v>0.31819805153394631</v>
      </c>
      <c r="P10" s="13">
        <f t="shared" si="5"/>
        <v>0.73024770563438945</v>
      </c>
    </row>
    <row r="11" spans="1:16">
      <c r="A11" s="13">
        <v>0.99999999999999989</v>
      </c>
      <c r="B11" s="13">
        <v>106.38</v>
      </c>
      <c r="C11" s="13">
        <v>168.5</v>
      </c>
      <c r="D11" s="13"/>
      <c r="F11" s="14">
        <v>0.99999999999999989</v>
      </c>
      <c r="G11" s="14">
        <f t="shared" si="0"/>
        <v>0.35355339059327368</v>
      </c>
      <c r="H11" s="14">
        <v>106.38</v>
      </c>
      <c r="I11" s="14">
        <f t="shared" si="1"/>
        <v>106.56940059347181</v>
      </c>
      <c r="J11" s="14">
        <f t="shared" si="2"/>
        <v>1.6991340930788708</v>
      </c>
      <c r="K11" s="14">
        <f t="shared" si="3"/>
        <v>4.5840512141007155</v>
      </c>
      <c r="O11" s="13">
        <f t="shared" si="4"/>
        <v>0.35355339059327368</v>
      </c>
      <c r="P11" s="13">
        <f t="shared" si="5"/>
        <v>0.72957441011053314</v>
      </c>
    </row>
    <row r="12" spans="1:16">
      <c r="A12" s="13">
        <v>1.0999999999999999</v>
      </c>
      <c r="B12" s="13">
        <v>106.45</v>
      </c>
      <c r="C12" s="13">
        <v>168.5</v>
      </c>
      <c r="D12" s="13"/>
      <c r="F12" s="14">
        <v>1.0999999999999999</v>
      </c>
      <c r="G12" s="14">
        <f t="shared" si="0"/>
        <v>0.38890872965260104</v>
      </c>
      <c r="H12" s="14">
        <v>106.45</v>
      </c>
      <c r="I12" s="14">
        <f t="shared" si="1"/>
        <v>106.63952522255194</v>
      </c>
      <c r="J12" s="14">
        <f t="shared" si="2"/>
        <v>1.6998825194577976</v>
      </c>
      <c r="K12" s="14">
        <f t="shared" si="3"/>
        <v>4.5833027877217889</v>
      </c>
      <c r="O12" s="13">
        <f t="shared" si="4"/>
        <v>0.38890872965260104</v>
      </c>
      <c r="P12" s="13">
        <f t="shared" si="5"/>
        <v>0.72945529435278655</v>
      </c>
    </row>
    <row r="13" spans="1:16">
      <c r="A13" s="13">
        <v>1.2</v>
      </c>
      <c r="B13" s="13">
        <v>106.93</v>
      </c>
      <c r="C13" s="13">
        <v>168.5</v>
      </c>
      <c r="D13" s="13"/>
      <c r="F13" s="14">
        <v>1.2</v>
      </c>
      <c r="G13" s="14">
        <f t="shared" si="0"/>
        <v>0.42426406871192845</v>
      </c>
      <c r="H13" s="14">
        <v>106.93</v>
      </c>
      <c r="I13" s="14">
        <f t="shared" si="1"/>
        <v>107.12037982195848</v>
      </c>
      <c r="J13" s="14">
        <f t="shared" si="2"/>
        <v>1.7050165681913736</v>
      </c>
      <c r="K13" s="14">
        <f t="shared" si="3"/>
        <v>4.5781687389882126</v>
      </c>
      <c r="O13" s="13">
        <f t="shared" si="4"/>
        <v>0.42426406871192845</v>
      </c>
      <c r="P13" s="13">
        <f t="shared" si="5"/>
        <v>0.72863818511876322</v>
      </c>
    </row>
    <row r="14" spans="1:16">
      <c r="A14" s="13">
        <v>1.3</v>
      </c>
      <c r="B14" s="13">
        <v>107.82</v>
      </c>
      <c r="C14" s="13">
        <v>168.3</v>
      </c>
      <c r="D14" s="13"/>
      <c r="F14" s="14">
        <v>1.3</v>
      </c>
      <c r="G14" s="14">
        <f t="shared" si="0"/>
        <v>0.45961940777125587</v>
      </c>
      <c r="H14" s="14">
        <v>107.82</v>
      </c>
      <c r="I14" s="14">
        <f t="shared" si="1"/>
        <v>108.14032085561496</v>
      </c>
      <c r="J14" s="14">
        <f t="shared" si="2"/>
        <v>1.7159183696204743</v>
      </c>
      <c r="K14" s="14">
        <f t="shared" si="3"/>
        <v>4.5672669375591122</v>
      </c>
      <c r="O14" s="13">
        <f t="shared" si="4"/>
        <v>0.45961940777125587</v>
      </c>
      <c r="P14" s="13">
        <f t="shared" si="5"/>
        <v>0.72690310953271564</v>
      </c>
    </row>
    <row r="15" spans="1:16">
      <c r="A15" s="13">
        <v>1.4000000000000001</v>
      </c>
      <c r="B15" s="13">
        <v>109.44</v>
      </c>
      <c r="C15" s="13">
        <v>168.5</v>
      </c>
      <c r="D15" s="13"/>
      <c r="F15" s="14">
        <v>1.4000000000000001</v>
      </c>
      <c r="G15" s="14">
        <f t="shared" si="0"/>
        <v>0.49497474683058329</v>
      </c>
      <c r="H15" s="14">
        <v>109.44</v>
      </c>
      <c r="I15" s="14">
        <f t="shared" si="1"/>
        <v>109.63484866468843</v>
      </c>
      <c r="J15" s="14">
        <f t="shared" si="2"/>
        <v>1.7319246814699945</v>
      </c>
      <c r="K15" s="14">
        <f t="shared" si="3"/>
        <v>4.5512606257095918</v>
      </c>
      <c r="O15" s="13">
        <f t="shared" si="4"/>
        <v>0.49497474683058329</v>
      </c>
      <c r="P15" s="13">
        <f t="shared" si="5"/>
        <v>0.72435562588119407</v>
      </c>
    </row>
    <row r="16" spans="1:16">
      <c r="A16" s="13">
        <v>1.5000000000000002</v>
      </c>
      <c r="B16" s="13">
        <v>112.18</v>
      </c>
      <c r="C16" s="13">
        <v>168.4</v>
      </c>
      <c r="D16" s="13"/>
      <c r="F16" s="14">
        <v>1.5000000000000002</v>
      </c>
      <c r="G16" s="14">
        <f t="shared" si="0"/>
        <v>0.53033008588991071</v>
      </c>
      <c r="H16" s="14">
        <v>112.18</v>
      </c>
      <c r="I16" s="14">
        <f t="shared" si="1"/>
        <v>112.44646080760097</v>
      </c>
      <c r="J16" s="14">
        <f t="shared" si="2"/>
        <v>1.7621536393567354</v>
      </c>
      <c r="K16" s="14">
        <f t="shared" si="3"/>
        <v>4.521031667822851</v>
      </c>
      <c r="O16" s="13">
        <f t="shared" si="4"/>
        <v>0.53033008588991071</v>
      </c>
      <c r="P16" s="13">
        <f t="shared" si="5"/>
        <v>0.71954453780900252</v>
      </c>
    </row>
    <row r="17" spans="1:16">
      <c r="A17" s="13">
        <v>1.6000000000000003</v>
      </c>
      <c r="B17" s="13">
        <v>116.67</v>
      </c>
      <c r="C17" s="13">
        <v>168.5</v>
      </c>
      <c r="D17" s="13"/>
      <c r="F17" s="14">
        <v>1.6000000000000003</v>
      </c>
      <c r="G17" s="14">
        <f t="shared" si="0"/>
        <v>0.56568542494923812</v>
      </c>
      <c r="H17" s="14">
        <v>116.67</v>
      </c>
      <c r="I17" s="14">
        <f t="shared" si="1"/>
        <v>116.87772106824926</v>
      </c>
      <c r="J17" s="14">
        <f t="shared" si="2"/>
        <v>1.8101701617881838</v>
      </c>
      <c r="K17" s="14">
        <f t="shared" si="3"/>
        <v>4.4730151453914022</v>
      </c>
      <c r="O17" s="13">
        <f t="shared" si="4"/>
        <v>0.56568542494923812</v>
      </c>
      <c r="P17" s="13">
        <f t="shared" si="5"/>
        <v>0.71190247091395464</v>
      </c>
    </row>
    <row r="18" spans="1:16">
      <c r="A18" s="13">
        <v>1.7000000000000004</v>
      </c>
      <c r="B18" s="13">
        <v>122.83</v>
      </c>
      <c r="C18" s="13">
        <v>168.3</v>
      </c>
      <c r="D18" s="13"/>
      <c r="F18" s="14">
        <v>1.7000000000000004</v>
      </c>
      <c r="G18" s="14">
        <f t="shared" si="0"/>
        <v>0.60104076400856554</v>
      </c>
      <c r="H18" s="14">
        <v>122.83</v>
      </c>
      <c r="I18" s="14">
        <f t="shared" si="1"/>
        <v>123.19491384432561</v>
      </c>
      <c r="J18" s="14">
        <f t="shared" si="2"/>
        <v>1.8796416582649531</v>
      </c>
      <c r="K18" s="14">
        <f t="shared" si="3"/>
        <v>4.4035436489146331</v>
      </c>
      <c r="O18" s="13">
        <f t="shared" si="4"/>
        <v>0.60104076400856554</v>
      </c>
      <c r="P18" s="13">
        <f t="shared" si="5"/>
        <v>0.70084573884568557</v>
      </c>
    </row>
    <row r="19" spans="1:16">
      <c r="A19" s="13">
        <v>1.8000000000000005</v>
      </c>
      <c r="B19" s="13">
        <v>130.16</v>
      </c>
      <c r="C19" s="13">
        <v>168.1</v>
      </c>
      <c r="D19" s="13"/>
      <c r="F19" s="14">
        <v>1.8000000000000005</v>
      </c>
      <c r="G19" s="14">
        <f t="shared" si="0"/>
        <v>0.63639610306789285</v>
      </c>
      <c r="H19" s="14">
        <v>130.16</v>
      </c>
      <c r="I19" s="14">
        <f t="shared" si="1"/>
        <v>130.70201070791197</v>
      </c>
      <c r="J19" s="14">
        <f t="shared" si="2"/>
        <v>1.9642904207045073</v>
      </c>
      <c r="K19" s="14">
        <f t="shared" si="3"/>
        <v>4.3188948864750785</v>
      </c>
      <c r="O19" s="13">
        <f t="shared" si="4"/>
        <v>0.63639610306789285</v>
      </c>
      <c r="P19" s="13">
        <f t="shared" si="5"/>
        <v>0.68737346987681891</v>
      </c>
    </row>
    <row r="20" spans="1:16">
      <c r="A20" s="13">
        <v>1.9000000000000006</v>
      </c>
      <c r="B20" s="13">
        <v>138.84</v>
      </c>
      <c r="C20" s="13">
        <v>168.2</v>
      </c>
      <c r="D20" s="13"/>
      <c r="F20" s="14">
        <v>1.9000000000000006</v>
      </c>
      <c r="G20" s="14">
        <f t="shared" si="0"/>
        <v>0.67175144212722027</v>
      </c>
      <c r="H20" s="14">
        <v>138.84</v>
      </c>
      <c r="I20" s="14">
        <f t="shared" si="1"/>
        <v>139.3352675386445</v>
      </c>
      <c r="J20" s="14">
        <f t="shared" si="2"/>
        <v>2.0655293130853072</v>
      </c>
      <c r="K20" s="14">
        <f t="shared" si="3"/>
        <v>4.2176559940942795</v>
      </c>
      <c r="O20" s="13">
        <f t="shared" si="4"/>
        <v>0.67175144212722027</v>
      </c>
      <c r="P20" s="13">
        <f t="shared" si="5"/>
        <v>0.67126079972126629</v>
      </c>
    </row>
    <row r="21" spans="1:16">
      <c r="A21" s="13">
        <v>2.0000000000000004</v>
      </c>
      <c r="B21" s="13">
        <v>147.03</v>
      </c>
      <c r="C21" s="13">
        <v>168</v>
      </c>
      <c r="D21" s="13"/>
      <c r="F21" s="14">
        <v>2.0000000000000004</v>
      </c>
      <c r="G21" s="14">
        <f t="shared" si="0"/>
        <v>0.70710678118654768</v>
      </c>
      <c r="H21" s="14">
        <v>147.03</v>
      </c>
      <c r="I21" s="14">
        <f t="shared" si="1"/>
        <v>147.73014285714285</v>
      </c>
      <c r="J21" s="14">
        <f t="shared" si="2"/>
        <v>2.1695971943364958</v>
      </c>
      <c r="K21" s="14">
        <f t="shared" si="3"/>
        <v>4.1135881128430904</v>
      </c>
      <c r="O21" s="13">
        <f t="shared" si="4"/>
        <v>0.70710678118654768</v>
      </c>
      <c r="P21" s="13">
        <f t="shared" si="5"/>
        <v>0.65469788200303924</v>
      </c>
    </row>
    <row r="22" spans="1:16">
      <c r="A22" s="13">
        <v>2.1000000000000005</v>
      </c>
      <c r="B22" s="13">
        <v>155.12</v>
      </c>
      <c r="C22" s="13">
        <v>168.1</v>
      </c>
      <c r="D22" s="13"/>
      <c r="F22" s="14">
        <v>2.1000000000000005</v>
      </c>
      <c r="G22" s="14">
        <f t="shared" si="0"/>
        <v>0.74246212024587499</v>
      </c>
      <c r="H22" s="14">
        <v>155.12</v>
      </c>
      <c r="I22" s="14">
        <f t="shared" si="1"/>
        <v>155.7659488399762</v>
      </c>
      <c r="J22" s="14">
        <f t="shared" si="2"/>
        <v>2.2766812131015097</v>
      </c>
      <c r="K22" s="14">
        <f t="shared" si="3"/>
        <v>4.0065040940780765</v>
      </c>
      <c r="O22" s="13">
        <f t="shared" si="4"/>
        <v>0.74246212024587499</v>
      </c>
      <c r="P22" s="13">
        <f t="shared" si="5"/>
        <v>0.63765493109044202</v>
      </c>
    </row>
    <row r="23" spans="1:16">
      <c r="A23" s="13">
        <v>2.2000000000000006</v>
      </c>
      <c r="B23" s="13">
        <v>162.72</v>
      </c>
      <c r="C23" s="13">
        <v>168.2</v>
      </c>
      <c r="D23" s="13"/>
      <c r="F23" s="14">
        <v>2.2000000000000006</v>
      </c>
      <c r="G23" s="14">
        <f t="shared" si="0"/>
        <v>0.77781745930520241</v>
      </c>
      <c r="H23" s="14">
        <v>162.72</v>
      </c>
      <c r="I23" s="14">
        <f t="shared" si="1"/>
        <v>163.30045184304402</v>
      </c>
      <c r="J23" s="14">
        <f t="shared" si="2"/>
        <v>2.386862733449266</v>
      </c>
      <c r="K23" s="14">
        <f t="shared" si="3"/>
        <v>3.8963225737303202</v>
      </c>
      <c r="O23" s="13">
        <f t="shared" si="4"/>
        <v>0.77781745930520241</v>
      </c>
      <c r="P23" s="13">
        <f t="shared" si="5"/>
        <v>0.62011899748971633</v>
      </c>
    </row>
    <row r="24" spans="1:16">
      <c r="A24" s="13">
        <v>2.3000000000000007</v>
      </c>
      <c r="B24" s="13">
        <v>169.53</v>
      </c>
      <c r="C24" s="13">
        <v>168.2</v>
      </c>
      <c r="D24" s="13"/>
      <c r="F24" s="14">
        <v>2.3000000000000007</v>
      </c>
      <c r="G24" s="14">
        <f t="shared" si="0"/>
        <v>0.81317279836452983</v>
      </c>
      <c r="H24" s="14">
        <v>169.53</v>
      </c>
      <c r="I24" s="14">
        <f t="shared" si="1"/>
        <v>170.13474435196196</v>
      </c>
      <c r="J24" s="14">
        <f t="shared" si="2"/>
        <v>2.4994165364341203</v>
      </c>
      <c r="K24" s="14">
        <f t="shared" si="3"/>
        <v>3.7837687707454659</v>
      </c>
      <c r="O24" s="13">
        <f t="shared" si="4"/>
        <v>0.81317279836452983</v>
      </c>
      <c r="P24" s="13">
        <f t="shared" si="5"/>
        <v>0.60220550338088541</v>
      </c>
    </row>
    <row r="25" spans="1:16">
      <c r="A25" s="13">
        <v>2.4000000000000008</v>
      </c>
      <c r="B25" s="13">
        <v>175.51</v>
      </c>
      <c r="C25" s="13">
        <v>168.2</v>
      </c>
      <c r="D25" s="13"/>
      <c r="F25" s="14">
        <v>2.4000000000000008</v>
      </c>
      <c r="G25" s="14">
        <f t="shared" si="0"/>
        <v>0.84852813742385724</v>
      </c>
      <c r="H25" s="14">
        <v>175.51</v>
      </c>
      <c r="I25" s="14">
        <f t="shared" si="1"/>
        <v>176.13607609988111</v>
      </c>
      <c r="J25" s="14">
        <f t="shared" si="2"/>
        <v>2.6145841274099952</v>
      </c>
      <c r="K25" s="14">
        <f t="shared" si="3"/>
        <v>3.668601179769591</v>
      </c>
      <c r="O25" s="13">
        <f t="shared" si="4"/>
        <v>0.84852813742385724</v>
      </c>
      <c r="P25" s="13">
        <f t="shared" si="5"/>
        <v>0.58387601199308936</v>
      </c>
    </row>
    <row r="26" spans="1:16">
      <c r="A26" s="13">
        <v>2.5000000000000009</v>
      </c>
      <c r="B26" s="13">
        <v>180.24</v>
      </c>
      <c r="C26" s="13">
        <v>168.1</v>
      </c>
      <c r="D26" s="13"/>
      <c r="F26" s="14">
        <v>2.5000000000000009</v>
      </c>
      <c r="G26" s="14">
        <f t="shared" si="0"/>
        <v>0.88388347648318466</v>
      </c>
      <c r="H26" s="14">
        <v>180.24</v>
      </c>
      <c r="I26" s="14">
        <f t="shared" si="1"/>
        <v>180.99055324211781</v>
      </c>
      <c r="J26" s="14">
        <f t="shared" si="2"/>
        <v>2.7280372170791862</v>
      </c>
      <c r="K26" s="14">
        <f t="shared" si="3"/>
        <v>3.5551480901004</v>
      </c>
      <c r="O26" s="13">
        <f t="shared" si="4"/>
        <v>0.88388347648318466</v>
      </c>
      <c r="P26" s="13">
        <f t="shared" si="5"/>
        <v>0.56581939196318953</v>
      </c>
    </row>
    <row r="27" spans="1:16">
      <c r="A27" s="13">
        <f>A26+0.1</f>
        <v>2.600000000000001</v>
      </c>
      <c r="B27" s="13">
        <v>184.45</v>
      </c>
      <c r="C27" s="13">
        <v>168.3</v>
      </c>
      <c r="D27" s="13"/>
      <c r="F27" s="14">
        <v>2.600000000000001</v>
      </c>
      <c r="G27" s="14">
        <f t="shared" si="0"/>
        <v>0.91923881554251208</v>
      </c>
      <c r="H27" s="14">
        <v>184.45</v>
      </c>
      <c r="I27" s="14">
        <f t="shared" si="1"/>
        <v>184.99797979797978</v>
      </c>
      <c r="J27" s="14">
        <f t="shared" si="2"/>
        <v>2.8511404821063806</v>
      </c>
      <c r="K27" s="14">
        <f t="shared" si="3"/>
        <v>3.4320448250732056</v>
      </c>
      <c r="O27" s="13">
        <f t="shared" si="4"/>
        <v>0.91923881554251208</v>
      </c>
      <c r="P27" s="13">
        <f t="shared" si="5"/>
        <v>0.54622689882335995</v>
      </c>
    </row>
    <row r="28" spans="1:16">
      <c r="A28" s="13">
        <f t="shared" ref="A28" si="6">A27+0.1</f>
        <v>2.7000000000000011</v>
      </c>
      <c r="B28" s="13">
        <v>186.55</v>
      </c>
      <c r="C28" s="13">
        <v>168.2</v>
      </c>
      <c r="D28" s="13"/>
      <c r="F28" s="14">
        <v>2.7000000000000011</v>
      </c>
      <c r="G28" s="14">
        <f t="shared" si="0"/>
        <v>0.9545941546018395</v>
      </c>
      <c r="H28" s="14">
        <v>186.55</v>
      </c>
      <c r="I28" s="14">
        <f t="shared" si="1"/>
        <v>187.21545778834724</v>
      </c>
      <c r="J28" s="14">
        <f t="shared" si="2"/>
        <v>2.9493876528661209</v>
      </c>
      <c r="K28" s="14">
        <f t="shared" si="3"/>
        <v>3.3337976543134653</v>
      </c>
      <c r="O28" s="13">
        <f t="shared" si="4"/>
        <v>0.9545941546018395</v>
      </c>
      <c r="P28" s="13">
        <f t="shared" si="5"/>
        <v>0.53059037595215375</v>
      </c>
    </row>
    <row r="29" spans="1:16">
      <c r="A29" s="13">
        <f>A28+0.02</f>
        <v>2.7200000000000011</v>
      </c>
      <c r="B29" s="13">
        <v>186.89</v>
      </c>
      <c r="C29" s="13">
        <v>168.2</v>
      </c>
      <c r="D29" s="13"/>
      <c r="F29" s="14">
        <v>2.7200000000000011</v>
      </c>
      <c r="G29" s="14">
        <f t="shared" si="0"/>
        <v>0.961665222413705</v>
      </c>
      <c r="H29" s="14">
        <v>186.89</v>
      </c>
      <c r="I29" s="14">
        <f t="shared" si="1"/>
        <v>187.55667063020215</v>
      </c>
      <c r="J29" s="14">
        <f t="shared" si="2"/>
        <v>2.9693156750175631</v>
      </c>
      <c r="K29" s="14">
        <f t="shared" si="3"/>
        <v>3.3138696321620231</v>
      </c>
      <c r="O29" s="13">
        <f t="shared" si="4"/>
        <v>0.961665222413705</v>
      </c>
      <c r="P29" s="13">
        <f t="shared" si="5"/>
        <v>0.52741873272070694</v>
      </c>
    </row>
    <row r="30" spans="1:16">
      <c r="A30" s="13">
        <f t="shared" ref="A30:A46" si="7">A29+0.02</f>
        <v>2.7400000000000011</v>
      </c>
      <c r="B30" s="13">
        <v>187.16</v>
      </c>
      <c r="C30" s="13">
        <v>168.2</v>
      </c>
      <c r="D30" s="13"/>
      <c r="F30" s="14">
        <v>2.7400000000000011</v>
      </c>
      <c r="G30" s="14">
        <f t="shared" si="0"/>
        <v>0.9687362902255704</v>
      </c>
      <c r="H30" s="14">
        <v>187.16</v>
      </c>
      <c r="I30" s="14">
        <f t="shared" si="1"/>
        <v>187.82763376932226</v>
      </c>
      <c r="J30" s="14">
        <f t="shared" si="2"/>
        <v>2.9869393990859026</v>
      </c>
      <c r="K30" s="14">
        <f t="shared" si="3"/>
        <v>3.2962459080936837</v>
      </c>
      <c r="O30" s="13">
        <f t="shared" si="4"/>
        <v>0.9687362902255704</v>
      </c>
      <c r="P30" s="13">
        <f t="shared" si="5"/>
        <v>0.52461382991954308</v>
      </c>
    </row>
    <row r="31" spans="1:16">
      <c r="A31" s="13">
        <f t="shared" si="7"/>
        <v>2.7600000000000011</v>
      </c>
      <c r="B31" s="13">
        <v>187.32</v>
      </c>
      <c r="C31" s="13">
        <v>168.1</v>
      </c>
      <c r="D31" s="13"/>
      <c r="F31" s="14">
        <v>2.7600000000000011</v>
      </c>
      <c r="G31" s="14">
        <f t="shared" si="0"/>
        <v>0.9758073580374359</v>
      </c>
      <c r="H31" s="14">
        <v>187.32</v>
      </c>
      <c r="I31" s="14">
        <f t="shared" si="1"/>
        <v>188.10003569303987</v>
      </c>
      <c r="J31" s="14">
        <f t="shared" si="2"/>
        <v>3.0069416701003941</v>
      </c>
      <c r="K31" s="14">
        <f t="shared" si="3"/>
        <v>3.2762436370791921</v>
      </c>
      <c r="O31" s="13">
        <f t="shared" si="4"/>
        <v>0.9758073580374359</v>
      </c>
      <c r="P31" s="13">
        <f t="shared" si="5"/>
        <v>0.52143036961452305</v>
      </c>
    </row>
    <row r="32" spans="1:16">
      <c r="A32" s="13">
        <f t="shared" si="7"/>
        <v>2.7800000000000011</v>
      </c>
      <c r="B32" s="13">
        <v>187.41</v>
      </c>
      <c r="C32" s="13">
        <v>168.1</v>
      </c>
      <c r="D32" s="13"/>
      <c r="F32" s="14">
        <v>2.7800000000000011</v>
      </c>
      <c r="G32" s="14">
        <f t="shared" si="0"/>
        <v>0.98287842584930141</v>
      </c>
      <c r="H32" s="14">
        <v>187.41</v>
      </c>
      <c r="I32" s="14">
        <f t="shared" si="1"/>
        <v>188.19041046995838</v>
      </c>
      <c r="J32" s="14">
        <f t="shared" si="2"/>
        <v>3.0142653032492275</v>
      </c>
      <c r="K32" s="14">
        <f t="shared" si="3"/>
        <v>3.2689200039303588</v>
      </c>
      <c r="O32" s="13">
        <f t="shared" si="4"/>
        <v>0.98287842584930141</v>
      </c>
      <c r="P32" s="13">
        <f t="shared" si="5"/>
        <v>0.52026477719749453</v>
      </c>
    </row>
    <row r="33" spans="1:16">
      <c r="A33" s="13">
        <f t="shared" si="7"/>
        <v>2.8000000000000012</v>
      </c>
      <c r="B33" s="13">
        <v>187.5</v>
      </c>
      <c r="C33" s="13">
        <v>168</v>
      </c>
      <c r="D33" s="13"/>
      <c r="F33" s="14">
        <v>2.8000000000000012</v>
      </c>
      <c r="G33" s="14">
        <f t="shared" si="0"/>
        <v>0.98994949366116691</v>
      </c>
      <c r="H33" s="14">
        <v>187.5</v>
      </c>
      <c r="I33" s="14">
        <f t="shared" si="1"/>
        <v>188.39285714285717</v>
      </c>
      <c r="J33" s="14">
        <f t="shared" si="2"/>
        <v>3.0324295143584208</v>
      </c>
      <c r="K33" s="14">
        <f t="shared" si="3"/>
        <v>3.2507557928211654</v>
      </c>
      <c r="O33" s="13">
        <f t="shared" si="4"/>
        <v>0.98994949366116691</v>
      </c>
      <c r="P33" s="13">
        <f t="shared" si="5"/>
        <v>0.51737385321210172</v>
      </c>
    </row>
    <row r="34" spans="1:16">
      <c r="A34" s="13">
        <f t="shared" si="7"/>
        <v>2.8200000000000012</v>
      </c>
      <c r="B34" s="13">
        <v>187.56</v>
      </c>
      <c r="C34" s="13">
        <v>168</v>
      </c>
      <c r="D34" s="13"/>
      <c r="F34" s="14">
        <v>2.8200000000000012</v>
      </c>
      <c r="G34" s="14">
        <f t="shared" si="0"/>
        <v>0.99702056147303231</v>
      </c>
      <c r="H34" s="14">
        <v>187.56</v>
      </c>
      <c r="I34" s="14">
        <f t="shared" si="1"/>
        <v>188.45314285714289</v>
      </c>
      <c r="J34" s="14">
        <f t="shared" si="2"/>
        <v>3.0384519794124203</v>
      </c>
      <c r="K34" s="14">
        <f t="shared" si="3"/>
        <v>3.2447333277671659</v>
      </c>
      <c r="O34" s="13">
        <f t="shared" si="4"/>
        <v>0.99702056147303231</v>
      </c>
      <c r="P34" s="13">
        <f t="shared" si="5"/>
        <v>0.51641534812915946</v>
      </c>
    </row>
    <row r="35" spans="1:16">
      <c r="A35" s="13">
        <f t="shared" si="7"/>
        <v>2.8400000000000012</v>
      </c>
      <c r="B35" s="13">
        <v>187.77</v>
      </c>
      <c r="C35" s="13">
        <v>168</v>
      </c>
      <c r="D35" s="13"/>
      <c r="F35" s="14">
        <v>2.8400000000000012</v>
      </c>
      <c r="G35" s="14">
        <f t="shared" si="0"/>
        <v>1.0040916292848978</v>
      </c>
      <c r="H35" s="14">
        <v>187.77</v>
      </c>
      <c r="I35" s="14">
        <f t="shared" si="1"/>
        <v>188.66414285714288</v>
      </c>
      <c r="J35" s="14">
        <f t="shared" si="2"/>
        <v>3.0630746846065819</v>
      </c>
      <c r="K35" s="14">
        <f t="shared" si="3"/>
        <v>3.2201106225730043</v>
      </c>
      <c r="O35" s="13">
        <f t="shared" si="4"/>
        <v>1.0040916292848978</v>
      </c>
      <c r="P35" s="13">
        <f t="shared" si="5"/>
        <v>0.51249652288521419</v>
      </c>
    </row>
    <row r="36" spans="1:16">
      <c r="A36" s="13">
        <f>A35+0.01</f>
        <v>2.850000000000001</v>
      </c>
      <c r="B36" s="13">
        <v>187.71</v>
      </c>
      <c r="C36" s="13">
        <v>168</v>
      </c>
      <c r="D36" s="13"/>
      <c r="F36" s="14">
        <v>2.850000000000001</v>
      </c>
      <c r="G36" s="14">
        <f t="shared" si="0"/>
        <v>1.0076271631908305</v>
      </c>
      <c r="H36" s="14">
        <v>187.71</v>
      </c>
      <c r="I36" s="14">
        <f t="shared" si="1"/>
        <v>188.60385714285718</v>
      </c>
      <c r="J36" s="14">
        <f t="shared" si="2"/>
        <v>3.0553215097794233</v>
      </c>
      <c r="K36" s="14">
        <f t="shared" si="3"/>
        <v>3.2278637974001629</v>
      </c>
      <c r="O36" s="13">
        <f t="shared" si="4"/>
        <v>1.0076271631908305</v>
      </c>
      <c r="P36" s="13">
        <f t="shared" si="5"/>
        <v>0.51373047898361213</v>
      </c>
    </row>
    <row r="37" spans="1:16">
      <c r="A37" s="13">
        <f t="shared" ref="A37:A41" si="8">A36+0.01</f>
        <v>2.8600000000000008</v>
      </c>
      <c r="B37" s="13">
        <v>187.68</v>
      </c>
      <c r="C37" s="13">
        <v>167.9</v>
      </c>
      <c r="D37" s="13"/>
      <c r="F37" s="14">
        <v>2.8600000000000008</v>
      </c>
      <c r="G37" s="14">
        <f t="shared" si="0"/>
        <v>1.0111626970967631</v>
      </c>
      <c r="H37" s="14">
        <v>187.68</v>
      </c>
      <c r="I37" s="14">
        <f t="shared" si="1"/>
        <v>188.68602739726029</v>
      </c>
      <c r="J37" s="14">
        <f t="shared" si="2"/>
        <v>3.0660854460273708</v>
      </c>
      <c r="K37" s="14">
        <f t="shared" si="3"/>
        <v>3.2170998611522155</v>
      </c>
      <c r="O37" s="13">
        <f t="shared" si="4"/>
        <v>1.0111626970967631</v>
      </c>
      <c r="P37" s="13">
        <f t="shared" si="5"/>
        <v>0.51201734532262522</v>
      </c>
    </row>
    <row r="38" spans="1:16">
      <c r="A38" s="13">
        <f t="shared" si="8"/>
        <v>2.8700000000000006</v>
      </c>
      <c r="B38" s="13">
        <v>187.59</v>
      </c>
      <c r="C38" s="13">
        <v>167.7</v>
      </c>
      <c r="D38" s="13"/>
      <c r="F38" s="14">
        <v>2.8700000000000006</v>
      </c>
      <c r="G38" s="14">
        <f t="shared" si="0"/>
        <v>1.0146982310026957</v>
      </c>
      <c r="H38" s="14">
        <v>187.59</v>
      </c>
      <c r="I38" s="14">
        <f t="shared" si="1"/>
        <v>188.82046511627911</v>
      </c>
      <c r="J38" s="14">
        <f t="shared" si="2"/>
        <v>3.088175506523207</v>
      </c>
      <c r="K38" s="14">
        <f t="shared" si="3"/>
        <v>3.1950098006563792</v>
      </c>
      <c r="O38" s="13">
        <f t="shared" si="4"/>
        <v>1.0146982310026957</v>
      </c>
      <c r="P38" s="13">
        <f t="shared" si="5"/>
        <v>0.50850160300151392</v>
      </c>
    </row>
    <row r="39" spans="1:16">
      <c r="A39" s="13">
        <f t="shared" si="8"/>
        <v>2.8800000000000003</v>
      </c>
      <c r="B39" s="13">
        <v>187.5</v>
      </c>
      <c r="C39" s="13">
        <v>167.5</v>
      </c>
      <c r="D39" s="13"/>
      <c r="F39" s="14">
        <v>2.8800000000000003</v>
      </c>
      <c r="G39" s="14">
        <f t="shared" si="0"/>
        <v>1.0182337649086284</v>
      </c>
      <c r="H39" s="14">
        <v>187.5</v>
      </c>
      <c r="I39" s="14">
        <f t="shared" si="1"/>
        <v>188.95522388059703</v>
      </c>
      <c r="J39" s="14">
        <f t="shared" si="2"/>
        <v>3.1415926535897931</v>
      </c>
      <c r="K39" s="14">
        <f t="shared" si="3"/>
        <v>3.1415926535897931</v>
      </c>
      <c r="O39" s="13">
        <f t="shared" si="4"/>
        <v>1.0182337649086284</v>
      </c>
      <c r="P39" s="13">
        <f t="shared" si="5"/>
        <v>0.5</v>
      </c>
    </row>
    <row r="40" spans="1:16">
      <c r="A40" s="13">
        <f>A39+0.01</f>
        <v>2.89</v>
      </c>
      <c r="B40" s="13">
        <v>187.44</v>
      </c>
      <c r="C40" s="13">
        <v>167.5</v>
      </c>
      <c r="D40" s="13"/>
      <c r="F40" s="14">
        <v>2.89</v>
      </c>
      <c r="G40" s="14">
        <f t="shared" si="0"/>
        <v>1.0217692988145612</v>
      </c>
      <c r="H40" s="14">
        <v>187.44</v>
      </c>
      <c r="I40" s="14">
        <f t="shared" si="1"/>
        <v>188.89475820895524</v>
      </c>
      <c r="J40" s="14">
        <f t="shared" si="2"/>
        <v>3.1058136575636359</v>
      </c>
      <c r="K40" s="14">
        <v>3.1058136575636359</v>
      </c>
      <c r="O40" s="13">
        <f t="shared" si="4"/>
        <v>1.0217692988145612</v>
      </c>
      <c r="P40" s="13">
        <f t="shared" si="5"/>
        <v>0.49430559592357182</v>
      </c>
    </row>
    <row r="41" spans="1:16">
      <c r="A41" s="13">
        <f t="shared" si="8"/>
        <v>2.9</v>
      </c>
      <c r="B41" s="13">
        <v>187.32</v>
      </c>
      <c r="C41" s="13">
        <v>167.5</v>
      </c>
      <c r="D41" s="13"/>
      <c r="F41" s="14">
        <v>2.9</v>
      </c>
      <c r="G41" s="14">
        <f t="shared" si="0"/>
        <v>1.0253048327204939</v>
      </c>
      <c r="H41" s="14">
        <v>187.32</v>
      </c>
      <c r="I41" s="14">
        <f t="shared" si="1"/>
        <v>188.77382686567165</v>
      </c>
      <c r="J41" s="14">
        <f t="shared" si="2"/>
        <v>3.079615000927447</v>
      </c>
      <c r="K41" s="14">
        <v>3.079615000927447</v>
      </c>
      <c r="O41" s="13">
        <f t="shared" si="4"/>
        <v>1.0253048327204939</v>
      </c>
      <c r="P41" s="13">
        <f t="shared" si="5"/>
        <v>0.49013595021755507</v>
      </c>
    </row>
    <row r="42" spans="1:16">
      <c r="A42" s="13">
        <f t="shared" si="7"/>
        <v>2.92</v>
      </c>
      <c r="B42" s="13">
        <v>187.07</v>
      </c>
      <c r="C42" s="13">
        <v>167.5</v>
      </c>
      <c r="D42" s="13"/>
      <c r="F42" s="14">
        <v>2.92</v>
      </c>
      <c r="G42" s="14">
        <f t="shared" si="0"/>
        <v>1.0323759005323594</v>
      </c>
      <c r="H42" s="14">
        <v>187.07</v>
      </c>
      <c r="I42" s="14">
        <f t="shared" si="1"/>
        <v>188.52188656716419</v>
      </c>
      <c r="J42" s="14">
        <f t="shared" si="2"/>
        <v>3.0457784874828229</v>
      </c>
      <c r="K42" s="14">
        <v>3.0457784874828229</v>
      </c>
      <c r="O42" s="13">
        <f t="shared" si="4"/>
        <v>1.0323759005323594</v>
      </c>
      <c r="P42" s="13">
        <f t="shared" si="5"/>
        <v>0.48475070184584773</v>
      </c>
    </row>
    <row r="43" spans="1:16">
      <c r="A43" s="13">
        <f t="shared" si="7"/>
        <v>2.94</v>
      </c>
      <c r="B43" s="13">
        <v>186.8</v>
      </c>
      <c r="C43" s="13">
        <v>167.5</v>
      </c>
      <c r="D43" s="13"/>
      <c r="F43" s="14">
        <v>2.94</v>
      </c>
      <c r="G43" s="14">
        <f t="shared" si="0"/>
        <v>1.0394469683442247</v>
      </c>
      <c r="H43" s="14">
        <v>186.8</v>
      </c>
      <c r="I43" s="14">
        <f t="shared" si="1"/>
        <v>188.24979104477615</v>
      </c>
      <c r="J43" s="14">
        <f t="shared" si="2"/>
        <v>3.0193144702196699</v>
      </c>
      <c r="K43" s="14">
        <v>3.0193144702196699</v>
      </c>
      <c r="O43" s="13">
        <f t="shared" si="4"/>
        <v>1.0394469683442247</v>
      </c>
      <c r="P43" s="13">
        <f t="shared" si="5"/>
        <v>0.48053882268434772</v>
      </c>
    </row>
    <row r="44" spans="1:16">
      <c r="A44" s="13">
        <f t="shared" si="7"/>
        <v>2.96</v>
      </c>
      <c r="B44" s="13">
        <v>186.46</v>
      </c>
      <c r="C44" s="13">
        <v>167.5</v>
      </c>
      <c r="D44" s="13"/>
      <c r="F44" s="14">
        <v>2.96</v>
      </c>
      <c r="G44" s="14">
        <f t="shared" si="0"/>
        <v>1.0465180361560902</v>
      </c>
      <c r="H44" s="14">
        <v>186.46</v>
      </c>
      <c r="I44" s="14">
        <f t="shared" si="1"/>
        <v>187.90715223880599</v>
      </c>
      <c r="J44" s="14">
        <f t="shared" si="2"/>
        <v>2.9925027172062579</v>
      </c>
      <c r="K44" s="14">
        <v>2.9925027172062579</v>
      </c>
      <c r="O44" s="13">
        <f t="shared" si="4"/>
        <v>1.0465180361560902</v>
      </c>
      <c r="P44" s="13">
        <f t="shared" si="5"/>
        <v>0.47627159965930416</v>
      </c>
    </row>
    <row r="45" spans="1:16">
      <c r="A45" s="13">
        <f t="shared" si="7"/>
        <v>2.98</v>
      </c>
      <c r="B45" s="13">
        <v>186.22</v>
      </c>
      <c r="C45" s="13">
        <v>167.5</v>
      </c>
      <c r="D45" s="13"/>
      <c r="F45" s="14">
        <v>2.98</v>
      </c>
      <c r="G45" s="14">
        <f t="shared" si="0"/>
        <v>1.0535891039679557</v>
      </c>
      <c r="H45" s="14">
        <v>186.22</v>
      </c>
      <c r="I45" s="14">
        <f t="shared" si="1"/>
        <v>187.66528955223882</v>
      </c>
      <c r="J45" s="14">
        <f t="shared" si="2"/>
        <v>2.976156769518755</v>
      </c>
      <c r="K45" s="14">
        <v>2.976156769518755</v>
      </c>
      <c r="O45" s="13">
        <f t="shared" si="4"/>
        <v>1.0535891039679557</v>
      </c>
      <c r="P45" s="13">
        <f t="shared" si="5"/>
        <v>0.47367006128531652</v>
      </c>
    </row>
    <row r="46" spans="1:16">
      <c r="A46" s="13">
        <f t="shared" si="7"/>
        <v>3</v>
      </c>
      <c r="B46" s="13">
        <v>185.52</v>
      </c>
      <c r="C46" s="13">
        <v>167.3</v>
      </c>
      <c r="D46" s="13"/>
      <c r="F46" s="14">
        <v>3</v>
      </c>
      <c r="G46" s="14">
        <f t="shared" si="0"/>
        <v>1.0606601717798212</v>
      </c>
      <c r="H46" s="14">
        <v>185.52</v>
      </c>
      <c r="I46" s="14">
        <f t="shared" si="1"/>
        <v>187.18335923490736</v>
      </c>
      <c r="J46" s="14">
        <f t="shared" si="2"/>
        <v>2.9476171431696478</v>
      </c>
      <c r="K46" s="14">
        <v>2.9476171431696478</v>
      </c>
      <c r="O46" s="13">
        <f t="shared" si="4"/>
        <v>1.0606601717798212</v>
      </c>
      <c r="P46" s="13">
        <f t="shared" si="5"/>
        <v>0.46912783867786045</v>
      </c>
    </row>
    <row r="47" spans="1:16">
      <c r="A47" s="13">
        <f>A46+0.1</f>
        <v>3.1</v>
      </c>
      <c r="B47" s="13">
        <v>182.71</v>
      </c>
      <c r="C47" s="13">
        <v>167.2</v>
      </c>
      <c r="D47" s="13"/>
      <c r="F47" s="14">
        <v>3.1</v>
      </c>
      <c r="G47" s="14">
        <f t="shared" si="0"/>
        <v>1.0960155108391487</v>
      </c>
      <c r="H47" s="14">
        <v>182.71</v>
      </c>
      <c r="I47" s="14">
        <f t="shared" si="1"/>
        <v>184.45842105263162</v>
      </c>
      <c r="J47" s="14">
        <f t="shared" si="2"/>
        <v>2.8318219994420852</v>
      </c>
      <c r="K47" s="14">
        <v>2.8318219994420852</v>
      </c>
      <c r="O47" s="13">
        <f t="shared" si="4"/>
        <v>1.0960155108391487</v>
      </c>
      <c r="P47" s="13">
        <f t="shared" si="5"/>
        <v>0.45069846916758238</v>
      </c>
    </row>
    <row r="48" spans="1:16">
      <c r="A48" s="13">
        <f t="shared" ref="A48:A94" si="9">A47+0.1</f>
        <v>3.2</v>
      </c>
      <c r="B48" s="13">
        <v>178.83</v>
      </c>
      <c r="C48" s="13">
        <v>167.2</v>
      </c>
      <c r="D48" s="13"/>
      <c r="F48" s="14">
        <v>3.2</v>
      </c>
      <c r="G48" s="14">
        <f t="shared" si="0"/>
        <v>1.131370849898476</v>
      </c>
      <c r="H48" s="14">
        <v>178.83</v>
      </c>
      <c r="I48" s="14">
        <f t="shared" si="1"/>
        <v>180.54129186602876</v>
      </c>
      <c r="J48" s="14">
        <f t="shared" si="2"/>
        <v>2.7163595232947744</v>
      </c>
      <c r="K48" s="14">
        <v>2.7163595232947744</v>
      </c>
      <c r="O48" s="13">
        <f t="shared" si="4"/>
        <v>1.131370849898476</v>
      </c>
      <c r="P48" s="13">
        <f t="shared" si="5"/>
        <v>0.43232204534710778</v>
      </c>
    </row>
    <row r="49" spans="1:16">
      <c r="A49" s="13">
        <f t="shared" si="9"/>
        <v>3.3000000000000003</v>
      </c>
      <c r="B49" s="13">
        <v>174.32</v>
      </c>
      <c r="C49" s="13">
        <v>167.2</v>
      </c>
      <c r="D49" s="13"/>
      <c r="F49" s="14">
        <v>3.3000000000000003</v>
      </c>
      <c r="G49" s="14">
        <f t="shared" si="0"/>
        <v>1.1667261889578033</v>
      </c>
      <c r="H49" s="14">
        <v>174.32</v>
      </c>
      <c r="I49" s="14">
        <f t="shared" si="1"/>
        <v>175.98813397129189</v>
      </c>
      <c r="J49" s="14">
        <f t="shared" si="2"/>
        <v>2.6114789842029582</v>
      </c>
      <c r="K49" s="14">
        <v>2.6114789842029582</v>
      </c>
      <c r="O49" s="13">
        <f t="shared" si="4"/>
        <v>1.1667261889578033</v>
      </c>
      <c r="P49" s="13">
        <f t="shared" si="5"/>
        <v>0.41562978911650245</v>
      </c>
    </row>
    <row r="50" spans="1:16">
      <c r="A50" s="13">
        <f t="shared" si="9"/>
        <v>3.4000000000000004</v>
      </c>
      <c r="B50" s="13">
        <v>168.88</v>
      </c>
      <c r="C50" s="13">
        <v>167</v>
      </c>
      <c r="D50" s="13"/>
      <c r="F50" s="14">
        <v>3.4000000000000004</v>
      </c>
      <c r="G50" s="14">
        <f t="shared" si="0"/>
        <v>1.2020815280171309</v>
      </c>
      <c r="H50" s="14">
        <v>168.88</v>
      </c>
      <c r="I50" s="14">
        <f t="shared" si="1"/>
        <v>170.70026347305389</v>
      </c>
      <c r="J50" s="14">
        <f t="shared" si="2"/>
        <v>2.5094782951814869</v>
      </c>
      <c r="K50" s="14">
        <v>2.5094782951814869</v>
      </c>
      <c r="O50" s="13">
        <f t="shared" si="4"/>
        <v>1.2020815280171309</v>
      </c>
      <c r="P50" s="13">
        <f t="shared" si="5"/>
        <v>0.39939587525995607</v>
      </c>
    </row>
    <row r="51" spans="1:16">
      <c r="A51" s="13">
        <f t="shared" si="9"/>
        <v>3.5000000000000004</v>
      </c>
      <c r="B51" s="13">
        <v>163.15</v>
      </c>
      <c r="C51" s="13">
        <v>167.1</v>
      </c>
      <c r="D51" s="13"/>
      <c r="F51" s="14">
        <v>3.5000000000000004</v>
      </c>
      <c r="G51" s="14">
        <f t="shared" si="0"/>
        <v>1.2374368670764582</v>
      </c>
      <c r="H51" s="14">
        <v>163.15</v>
      </c>
      <c r="I51" s="14">
        <f t="shared" si="1"/>
        <v>164.8098144823459</v>
      </c>
      <c r="J51" s="14">
        <f t="shared" si="2"/>
        <v>2.4104807926053473</v>
      </c>
      <c r="K51" s="14">
        <v>2.4104807926053473</v>
      </c>
      <c r="O51" s="13">
        <f t="shared" si="4"/>
        <v>1.2374368670764582</v>
      </c>
      <c r="P51" s="13">
        <f t="shared" si="5"/>
        <v>0.38363993337121083</v>
      </c>
    </row>
    <row r="52" spans="1:16">
      <c r="A52" s="13">
        <f t="shared" si="9"/>
        <v>3.6000000000000005</v>
      </c>
      <c r="B52" s="13">
        <v>157.1</v>
      </c>
      <c r="C52" s="13">
        <v>167.2</v>
      </c>
      <c r="D52" s="13"/>
      <c r="F52" s="14">
        <v>3.6000000000000005</v>
      </c>
      <c r="G52" s="14">
        <f t="shared" si="0"/>
        <v>1.2727922061357857</v>
      </c>
      <c r="H52" s="14">
        <v>157.1</v>
      </c>
      <c r="I52" s="14">
        <f t="shared" si="1"/>
        <v>158.60334928229665</v>
      </c>
      <c r="J52" s="14">
        <f t="shared" si="2"/>
        <v>2.3168419053860378</v>
      </c>
      <c r="K52" s="14">
        <v>2.3168419053860378</v>
      </c>
      <c r="O52" s="13">
        <f t="shared" si="4"/>
        <v>1.2727922061357857</v>
      </c>
      <c r="P52" s="13">
        <f t="shared" si="5"/>
        <v>0.36873684160463321</v>
      </c>
    </row>
    <row r="53" spans="1:16">
      <c r="A53" s="13">
        <f t="shared" si="9"/>
        <v>3.7000000000000006</v>
      </c>
      <c r="B53" s="13">
        <v>151</v>
      </c>
      <c r="C53" s="13">
        <v>167.5</v>
      </c>
      <c r="D53" s="13"/>
      <c r="F53" s="14">
        <v>3.7000000000000006</v>
      </c>
      <c r="G53" s="14">
        <f t="shared" si="0"/>
        <v>1.308147545195113</v>
      </c>
      <c r="H53" s="14">
        <v>151</v>
      </c>
      <c r="I53" s="14">
        <f t="shared" si="1"/>
        <v>152.17194029850748</v>
      </c>
      <c r="J53" s="14">
        <f t="shared" si="2"/>
        <v>2.2276985148715114</v>
      </c>
      <c r="K53" s="14">
        <v>2.2276985148715114</v>
      </c>
      <c r="O53" s="13">
        <f t="shared" si="4"/>
        <v>1.308147545195113</v>
      </c>
      <c r="P53" s="13">
        <f t="shared" si="5"/>
        <v>0.35454923036027514</v>
      </c>
    </row>
    <row r="54" spans="1:16">
      <c r="A54" s="13">
        <f t="shared" si="9"/>
        <v>3.8000000000000007</v>
      </c>
      <c r="B54" s="13">
        <v>144.68</v>
      </c>
      <c r="C54" s="13">
        <v>167.5</v>
      </c>
      <c r="D54" s="13"/>
      <c r="F54" s="14">
        <v>3.8000000000000007</v>
      </c>
      <c r="G54" s="14">
        <f t="shared" si="0"/>
        <v>1.3435028842544405</v>
      </c>
      <c r="H54" s="14">
        <v>144.68</v>
      </c>
      <c r="I54" s="14">
        <f t="shared" si="1"/>
        <v>145.80288955223884</v>
      </c>
      <c r="J54" s="14">
        <f t="shared" si="2"/>
        <v>2.145103604862332</v>
      </c>
      <c r="K54" s="14">
        <v>2.145103604862332</v>
      </c>
      <c r="O54" s="13">
        <f t="shared" si="4"/>
        <v>1.3435028842544405</v>
      </c>
      <c r="P54" s="13">
        <f t="shared" si="5"/>
        <v>0.341403842158084</v>
      </c>
    </row>
    <row r="55" spans="1:16">
      <c r="A55" s="13">
        <f t="shared" si="9"/>
        <v>3.9000000000000008</v>
      </c>
      <c r="B55" s="13">
        <v>138.31</v>
      </c>
      <c r="C55" s="13">
        <v>167.5</v>
      </c>
      <c r="D55" s="13"/>
      <c r="F55" s="14">
        <v>3.9000000000000008</v>
      </c>
      <c r="G55" s="14">
        <f t="shared" si="0"/>
        <v>1.3788582233137678</v>
      </c>
      <c r="H55" s="14">
        <v>138.31</v>
      </c>
      <c r="I55" s="14">
        <f t="shared" si="1"/>
        <v>139.38345074626866</v>
      </c>
      <c r="J55" s="14">
        <f t="shared" si="2"/>
        <v>2.0661088817757571</v>
      </c>
      <c r="K55" s="14">
        <v>2.0661088817757571</v>
      </c>
      <c r="O55" s="13">
        <f t="shared" si="4"/>
        <v>1.3788582233137678</v>
      </c>
      <c r="P55" s="13">
        <f t="shared" si="5"/>
        <v>0.32883144150068017</v>
      </c>
    </row>
    <row r="56" spans="1:16">
      <c r="A56" s="13">
        <f t="shared" si="9"/>
        <v>4.0000000000000009</v>
      </c>
      <c r="B56" s="13">
        <v>132.02000000000001</v>
      </c>
      <c r="C56" s="13">
        <v>167.4</v>
      </c>
      <c r="D56" s="13"/>
      <c r="F56" s="14">
        <v>4.0000000000000009</v>
      </c>
      <c r="G56" s="14">
        <f t="shared" si="0"/>
        <v>1.4142135623730954</v>
      </c>
      <c r="H56" s="14">
        <v>132.02000000000001</v>
      </c>
      <c r="I56" s="14">
        <f t="shared" si="1"/>
        <v>133.12410991636798</v>
      </c>
      <c r="J56" s="14">
        <f t="shared" si="2"/>
        <v>1.992214060649879</v>
      </c>
      <c r="K56" s="14">
        <v>1.992214060649879</v>
      </c>
      <c r="O56" s="13">
        <f t="shared" si="4"/>
        <v>1.4142135623730954</v>
      </c>
      <c r="P56" s="13">
        <f t="shared" si="5"/>
        <v>0.31707071544960524</v>
      </c>
    </row>
    <row r="57" spans="1:16">
      <c r="A57" s="13">
        <f t="shared" si="9"/>
        <v>4.1000000000000005</v>
      </c>
      <c r="B57" s="13">
        <v>125.89</v>
      </c>
      <c r="C57" s="13">
        <v>167.4</v>
      </c>
      <c r="D57" s="13"/>
      <c r="F57" s="14">
        <v>4.1000000000000005</v>
      </c>
      <c r="G57" s="14">
        <f t="shared" si="0"/>
        <v>1.4495689014324225</v>
      </c>
      <c r="H57" s="14">
        <v>125.89</v>
      </c>
      <c r="I57" s="14">
        <f t="shared" si="1"/>
        <v>126.94284348864994</v>
      </c>
      <c r="J57" s="14">
        <f t="shared" si="2"/>
        <v>1.9215746436465506</v>
      </c>
      <c r="K57" s="14">
        <v>1.9215746436465506</v>
      </c>
      <c r="O57" s="13">
        <f t="shared" si="4"/>
        <v>1.4495689014324225</v>
      </c>
      <c r="P57" s="13">
        <f t="shared" si="5"/>
        <v>0.30582810305639585</v>
      </c>
    </row>
    <row r="58" spans="1:16">
      <c r="A58" s="13">
        <f t="shared" si="9"/>
        <v>4.2</v>
      </c>
      <c r="B58" s="13">
        <v>119.9</v>
      </c>
      <c r="C58" s="13">
        <v>167.4</v>
      </c>
      <c r="D58" s="13"/>
      <c r="F58" s="14">
        <v>4.2</v>
      </c>
      <c r="G58" s="14">
        <f t="shared" si="0"/>
        <v>1.4849242404917498</v>
      </c>
      <c r="H58" s="14">
        <v>119.9</v>
      </c>
      <c r="I58" s="14">
        <f t="shared" si="1"/>
        <v>120.90274790919953</v>
      </c>
      <c r="J58" s="14">
        <f t="shared" si="2"/>
        <v>1.8542751710555232</v>
      </c>
      <c r="K58" s="14">
        <v>1.8542751710555232</v>
      </c>
      <c r="O58" s="13">
        <f t="shared" si="4"/>
        <v>1.4849242404917498</v>
      </c>
      <c r="P58" s="13">
        <f t="shared" si="5"/>
        <v>0.29511705932605631</v>
      </c>
    </row>
    <row r="59" spans="1:16">
      <c r="A59" s="13">
        <f t="shared" si="9"/>
        <v>4.3</v>
      </c>
      <c r="B59" s="13">
        <v>114.17</v>
      </c>
      <c r="C59" s="13">
        <v>167.4</v>
      </c>
      <c r="D59" s="13"/>
      <c r="F59" s="14">
        <v>4.3</v>
      </c>
      <c r="G59" s="14">
        <f t="shared" si="0"/>
        <v>1.5202795795510771</v>
      </c>
      <c r="H59" s="14">
        <v>114.17</v>
      </c>
      <c r="I59" s="14">
        <f t="shared" si="1"/>
        <v>115.12482676224612</v>
      </c>
      <c r="J59" s="14">
        <f t="shared" si="2"/>
        <v>1.7911152213787447</v>
      </c>
      <c r="K59" s="14">
        <v>1.7911152213787447</v>
      </c>
      <c r="O59" s="13">
        <f t="shared" si="4"/>
        <v>1.5202795795510771</v>
      </c>
      <c r="P59" s="13">
        <f t="shared" si="5"/>
        <v>0.28506484112956165</v>
      </c>
    </row>
    <row r="60" spans="1:16">
      <c r="A60" s="13">
        <f t="shared" si="9"/>
        <v>4.3999999999999995</v>
      </c>
      <c r="B60" s="13">
        <v>108.7</v>
      </c>
      <c r="C60" s="13">
        <v>167.4</v>
      </c>
      <c r="D60" s="13"/>
      <c r="F60" s="14">
        <v>4.3999999999999995</v>
      </c>
      <c r="G60" s="14">
        <f t="shared" si="0"/>
        <v>1.5556349186104041</v>
      </c>
      <c r="H60" s="14">
        <v>108.7</v>
      </c>
      <c r="I60" s="14">
        <f t="shared" si="1"/>
        <v>109.60908004778973</v>
      </c>
      <c r="J60" s="14">
        <f t="shared" si="2"/>
        <v>1.7316483599741699</v>
      </c>
      <c r="K60" s="14">
        <v>1.7316483599741699</v>
      </c>
      <c r="O60" s="13">
        <f t="shared" si="4"/>
        <v>1.5556349186104041</v>
      </c>
      <c r="P60" s="13">
        <f t="shared" si="5"/>
        <v>0.27560039618686288</v>
      </c>
    </row>
    <row r="61" spans="1:16">
      <c r="A61" s="13">
        <f t="shared" si="9"/>
        <v>4.4999999999999991</v>
      </c>
      <c r="B61" s="13">
        <v>103.39</v>
      </c>
      <c r="C61" s="13">
        <v>167.4</v>
      </c>
      <c r="D61" s="13"/>
      <c r="F61" s="14">
        <v>4.4999999999999991</v>
      </c>
      <c r="G61" s="14">
        <f t="shared" si="0"/>
        <v>1.5909902576697315</v>
      </c>
      <c r="H61" s="14">
        <v>103.39</v>
      </c>
      <c r="I61" s="14">
        <f t="shared" si="1"/>
        <v>104.25467144563919</v>
      </c>
      <c r="J61" s="14">
        <f t="shared" si="2"/>
        <v>1.674467395075367</v>
      </c>
      <c r="K61" s="14">
        <v>1.674467395075367</v>
      </c>
      <c r="O61" s="13">
        <f t="shared" si="4"/>
        <v>1.5909902576697315</v>
      </c>
      <c r="P61" s="13">
        <f t="shared" si="5"/>
        <v>0.26649976297245426</v>
      </c>
    </row>
    <row r="62" spans="1:16">
      <c r="A62" s="13">
        <f t="shared" si="9"/>
        <v>4.5999999999999988</v>
      </c>
      <c r="B62" s="13">
        <v>98.48</v>
      </c>
      <c r="C62" s="13">
        <v>167.6</v>
      </c>
      <c r="D62" s="13"/>
      <c r="F62" s="14">
        <v>4.5999999999999988</v>
      </c>
      <c r="G62" s="14">
        <f t="shared" si="0"/>
        <v>1.6263455967290588</v>
      </c>
      <c r="H62" s="14">
        <v>98.48</v>
      </c>
      <c r="I62" s="14">
        <f t="shared" si="1"/>
        <v>99.185107398568036</v>
      </c>
      <c r="J62" s="14">
        <f t="shared" si="2"/>
        <v>1.6206435383625066</v>
      </c>
      <c r="K62" s="14">
        <v>1.6206435383625066</v>
      </c>
      <c r="O62" s="13">
        <f t="shared" si="4"/>
        <v>1.6263455967290588</v>
      </c>
      <c r="P62" s="13">
        <f t="shared" si="5"/>
        <v>0.25793343012033265</v>
      </c>
    </row>
    <row r="63" spans="1:16">
      <c r="A63" s="13">
        <f t="shared" si="9"/>
        <v>4.6999999999999984</v>
      </c>
      <c r="B63" s="13">
        <v>93.81</v>
      </c>
      <c r="C63" s="13">
        <v>167.8</v>
      </c>
      <c r="D63" s="13"/>
      <c r="F63" s="14">
        <v>4.6999999999999984</v>
      </c>
      <c r="G63" s="14">
        <f t="shared" si="0"/>
        <v>1.6617009357883861</v>
      </c>
      <c r="H63" s="14">
        <v>93.81</v>
      </c>
      <c r="I63" s="14">
        <f t="shared" si="1"/>
        <v>94.369058402860546</v>
      </c>
      <c r="J63" s="14">
        <f t="shared" si="2"/>
        <v>1.5696473396529327</v>
      </c>
      <c r="K63" s="14">
        <v>1.5696473396529327</v>
      </c>
      <c r="O63" s="13">
        <f t="shared" si="4"/>
        <v>1.6617009357883861</v>
      </c>
      <c r="P63" s="13">
        <f t="shared" si="5"/>
        <v>0.24981713301680741</v>
      </c>
    </row>
    <row r="64" spans="1:16">
      <c r="A64" s="13">
        <f t="shared" si="9"/>
        <v>4.799999999999998</v>
      </c>
      <c r="B64" s="13">
        <v>89.39</v>
      </c>
      <c r="C64" s="13">
        <v>167.9</v>
      </c>
      <c r="D64" s="13"/>
      <c r="F64" s="14">
        <v>4.799999999999998</v>
      </c>
      <c r="G64" s="14">
        <f t="shared" si="0"/>
        <v>1.6970562748477132</v>
      </c>
      <c r="H64" s="14">
        <v>89.39</v>
      </c>
      <c r="I64" s="14">
        <f t="shared" si="1"/>
        <v>89.869160214413341</v>
      </c>
      <c r="J64" s="14">
        <f t="shared" si="2"/>
        <v>1.5219987218904476</v>
      </c>
      <c r="K64" s="14">
        <v>1.5219987218904476</v>
      </c>
      <c r="O64" s="13">
        <f t="shared" si="4"/>
        <v>1.6970562748477132</v>
      </c>
      <c r="P64" s="13">
        <f t="shared" si="5"/>
        <v>0.24223361996841164</v>
      </c>
    </row>
    <row r="65" spans="1:16">
      <c r="A65" s="13">
        <f t="shared" si="9"/>
        <v>4.8999999999999977</v>
      </c>
      <c r="B65" s="13">
        <v>85.14</v>
      </c>
      <c r="C65" s="13">
        <v>168</v>
      </c>
      <c r="D65" s="13"/>
      <c r="F65" s="14">
        <v>4.8999999999999977</v>
      </c>
      <c r="G65" s="14">
        <f t="shared" si="0"/>
        <v>1.7324116139070405</v>
      </c>
      <c r="H65" s="14">
        <v>85.14</v>
      </c>
      <c r="I65" s="14">
        <f t="shared" si="1"/>
        <v>85.545428571428573</v>
      </c>
      <c r="J65" s="14">
        <f t="shared" si="2"/>
        <v>1.4761120572262423</v>
      </c>
      <c r="K65" s="14">
        <v>1.4761120572262423</v>
      </c>
      <c r="O65" s="13">
        <f t="shared" si="4"/>
        <v>1.7324116139070405</v>
      </c>
      <c r="P65" s="13">
        <f t="shared" si="5"/>
        <v>0.23493053046510315</v>
      </c>
    </row>
    <row r="66" spans="1:16">
      <c r="A66" s="13">
        <f t="shared" si="9"/>
        <v>4.9999999999999973</v>
      </c>
      <c r="B66" s="13">
        <v>81.150000000000006</v>
      </c>
      <c r="C66" s="13">
        <v>168</v>
      </c>
      <c r="D66" s="13"/>
      <c r="F66" s="14">
        <v>4.9999999999999973</v>
      </c>
      <c r="G66" s="14">
        <f t="shared" si="0"/>
        <v>1.7677669529663678</v>
      </c>
      <c r="H66" s="14">
        <v>81.150000000000006</v>
      </c>
      <c r="I66" s="14">
        <f t="shared" si="1"/>
        <v>81.536428571428587</v>
      </c>
      <c r="J66" s="14">
        <f t="shared" si="2"/>
        <v>1.4333881434895328</v>
      </c>
      <c r="K66" s="14">
        <v>1.4333881434895328</v>
      </c>
      <c r="O66" s="13">
        <f t="shared" si="4"/>
        <v>1.7677669529663678</v>
      </c>
      <c r="P66" s="13">
        <f t="shared" si="5"/>
        <v>0.2281308084056741</v>
      </c>
    </row>
    <row r="67" spans="1:16">
      <c r="A67" s="13">
        <f t="shared" si="9"/>
        <v>5.099999999999997</v>
      </c>
      <c r="B67" s="13">
        <v>77.36</v>
      </c>
      <c r="C67" s="13">
        <v>168</v>
      </c>
      <c r="D67" s="13"/>
      <c r="F67" s="14">
        <v>5.099999999999997</v>
      </c>
      <c r="G67" s="14">
        <f t="shared" ref="G67:G126" si="10">F67/2/SQRT(2)</f>
        <v>1.8031222920256951</v>
      </c>
      <c r="H67" s="14">
        <v>77.36</v>
      </c>
      <c r="I67" s="14">
        <f t="shared" ref="I67:I126" si="11">H67*MAX(C$2:C$126)/C67</f>
        <v>77.728380952380959</v>
      </c>
      <c r="J67" s="14">
        <f t="shared" ref="J67:J126" si="12">ACOS(1-2*(I67/MAX(I$2:I$126)))</f>
        <v>1.392571763795134</v>
      </c>
      <c r="K67" s="14">
        <v>1.392571763795134</v>
      </c>
      <c r="O67" s="13">
        <f t="shared" ref="O67:O126" si="13">G67</f>
        <v>1.8031222920256951</v>
      </c>
      <c r="P67" s="13">
        <f t="shared" ref="P67:P126" si="14">K67/2/PI()</f>
        <v>0.22163467981819487</v>
      </c>
    </row>
    <row r="68" spans="1:16">
      <c r="A68" s="13">
        <f t="shared" si="9"/>
        <v>5.1999999999999966</v>
      </c>
      <c r="B68" s="13">
        <v>73.790000000000006</v>
      </c>
      <c r="C68" s="13">
        <v>168</v>
      </c>
      <c r="D68" s="13"/>
      <c r="F68" s="14">
        <v>5.1999999999999966</v>
      </c>
      <c r="G68" s="14">
        <f t="shared" si="10"/>
        <v>1.8384776310850222</v>
      </c>
      <c r="H68" s="14">
        <v>73.790000000000006</v>
      </c>
      <c r="I68" s="14">
        <f t="shared" si="11"/>
        <v>74.14138095238097</v>
      </c>
      <c r="J68" s="14">
        <f t="shared" si="12"/>
        <v>1.353849315950447</v>
      </c>
      <c r="K68" s="14">
        <v>1.353849315950447</v>
      </c>
      <c r="O68" s="13">
        <f t="shared" si="13"/>
        <v>1.8384776310850222</v>
      </c>
      <c r="P68" s="13">
        <f t="shared" si="14"/>
        <v>0.21547181083509484</v>
      </c>
    </row>
    <row r="69" spans="1:16">
      <c r="A69" s="13">
        <f t="shared" si="9"/>
        <v>5.2999999999999963</v>
      </c>
      <c r="B69" s="13">
        <v>70.400000000000006</v>
      </c>
      <c r="C69" s="13">
        <v>167.9</v>
      </c>
      <c r="D69" s="13"/>
      <c r="F69" s="14">
        <v>5.2999999999999963</v>
      </c>
      <c r="G69" s="14">
        <f t="shared" si="10"/>
        <v>1.8738329701443495</v>
      </c>
      <c r="H69" s="14">
        <v>70.400000000000006</v>
      </c>
      <c r="I69" s="14">
        <f t="shared" si="11"/>
        <v>70.77736748064325</v>
      </c>
      <c r="J69" s="14">
        <f t="shared" si="12"/>
        <v>1.3172322405221599</v>
      </c>
      <c r="K69" s="14">
        <v>1.3172322405221599</v>
      </c>
      <c r="O69" s="13">
        <f t="shared" si="13"/>
        <v>1.8738329701443495</v>
      </c>
      <c r="P69" s="13">
        <f t="shared" si="14"/>
        <v>0.20964402227911416</v>
      </c>
    </row>
    <row r="70" spans="1:16">
      <c r="A70" s="13">
        <f t="shared" si="9"/>
        <v>5.3999999999999959</v>
      </c>
      <c r="B70" s="13">
        <v>67.23</v>
      </c>
      <c r="C70" s="13">
        <v>167.9</v>
      </c>
      <c r="D70" s="13"/>
      <c r="F70" s="14">
        <v>5.3999999999999959</v>
      </c>
      <c r="G70" s="14">
        <f t="shared" si="10"/>
        <v>1.9091883092036768</v>
      </c>
      <c r="H70" s="14">
        <v>67.23</v>
      </c>
      <c r="I70" s="14">
        <f t="shared" si="11"/>
        <v>67.590375223347237</v>
      </c>
      <c r="J70" s="14">
        <f t="shared" si="12"/>
        <v>1.2822192324022101</v>
      </c>
      <c r="K70" s="14">
        <v>1.2822192324022101</v>
      </c>
      <c r="O70" s="13">
        <f t="shared" si="13"/>
        <v>1.9091883092036768</v>
      </c>
      <c r="P70" s="13">
        <f t="shared" si="14"/>
        <v>0.20407152896430747</v>
      </c>
    </row>
    <row r="71" spans="1:16">
      <c r="A71" s="13">
        <f t="shared" si="9"/>
        <v>5.4999999999999956</v>
      </c>
      <c r="B71" s="13">
        <v>64.239999999999995</v>
      </c>
      <c r="C71" s="13">
        <v>167.9</v>
      </c>
      <c r="D71" s="13"/>
      <c r="F71" s="14">
        <v>5.4999999999999956</v>
      </c>
      <c r="G71" s="14">
        <f t="shared" si="10"/>
        <v>1.9445436482630041</v>
      </c>
      <c r="H71" s="14">
        <v>64.239999999999995</v>
      </c>
      <c r="I71" s="14">
        <f t="shared" si="11"/>
        <v>64.584347826086955</v>
      </c>
      <c r="J71" s="14">
        <f t="shared" si="12"/>
        <v>1.248858105286768</v>
      </c>
      <c r="K71" s="14">
        <v>1.248858105286768</v>
      </c>
      <c r="O71" s="13">
        <f t="shared" si="13"/>
        <v>1.9445436482630041</v>
      </c>
      <c r="P71" s="13">
        <f t="shared" si="14"/>
        <v>0.19876194067676781</v>
      </c>
    </row>
    <row r="72" spans="1:16">
      <c r="A72" s="13">
        <f t="shared" si="9"/>
        <v>5.5999999999999952</v>
      </c>
      <c r="B72" s="13">
        <v>61.46</v>
      </c>
      <c r="C72" s="13">
        <v>167.9</v>
      </c>
      <c r="D72" s="13"/>
      <c r="F72" s="14">
        <v>5.5999999999999952</v>
      </c>
      <c r="G72" s="14">
        <f t="shared" si="10"/>
        <v>1.9798989873223312</v>
      </c>
      <c r="H72" s="14">
        <v>61.46</v>
      </c>
      <c r="I72" s="14">
        <f t="shared" si="11"/>
        <v>61.789446098868375</v>
      </c>
      <c r="J72" s="14">
        <f t="shared" si="12"/>
        <v>1.2175041920699079</v>
      </c>
      <c r="K72" s="14">
        <v>1.2175041920699079</v>
      </c>
      <c r="O72" s="13">
        <f t="shared" si="13"/>
        <v>1.9798989873223312</v>
      </c>
      <c r="P72" s="13">
        <f t="shared" si="14"/>
        <v>0.19377181040303021</v>
      </c>
    </row>
    <row r="73" spans="1:16">
      <c r="A73" s="13">
        <f>A72+0.1</f>
        <v>5.6999999999999948</v>
      </c>
      <c r="B73" s="13">
        <v>58.81</v>
      </c>
      <c r="C73" s="13">
        <v>167.9</v>
      </c>
      <c r="D73" s="13"/>
      <c r="F73" s="14">
        <v>5.6999999999999948</v>
      </c>
      <c r="G73" s="14">
        <f t="shared" si="10"/>
        <v>2.0152543263816587</v>
      </c>
      <c r="H73" s="14">
        <v>58.81</v>
      </c>
      <c r="I73" s="14">
        <f t="shared" si="11"/>
        <v>59.125241215008934</v>
      </c>
      <c r="J73" s="14">
        <f t="shared" si="12"/>
        <v>1.1872755224099325</v>
      </c>
      <c r="K73" s="14">
        <v>1.1872755224099325</v>
      </c>
      <c r="O73" s="13">
        <f t="shared" si="13"/>
        <v>2.0152543263816587</v>
      </c>
      <c r="P73" s="13">
        <f t="shared" si="14"/>
        <v>0.18896076820355312</v>
      </c>
    </row>
    <row r="74" spans="1:16">
      <c r="A74" s="13">
        <f t="shared" si="9"/>
        <v>5.7999999999999945</v>
      </c>
      <c r="B74" s="13">
        <v>56.37</v>
      </c>
      <c r="C74" s="13">
        <v>167.9</v>
      </c>
      <c r="D74" s="13"/>
      <c r="F74" s="14">
        <v>5.7999999999999945</v>
      </c>
      <c r="G74" s="14">
        <f t="shared" si="10"/>
        <v>2.0506096654409856</v>
      </c>
      <c r="H74" s="14">
        <v>56.37</v>
      </c>
      <c r="I74" s="14">
        <f t="shared" si="11"/>
        <v>56.672162001191182</v>
      </c>
      <c r="J74" s="14">
        <f t="shared" si="12"/>
        <v>1.1591131144131848</v>
      </c>
      <c r="K74" s="14">
        <v>1.1591131144131848</v>
      </c>
      <c r="O74" s="13">
        <f t="shared" si="13"/>
        <v>2.0506096654409856</v>
      </c>
      <c r="P74" s="13">
        <f t="shared" si="14"/>
        <v>0.1844785817615</v>
      </c>
    </row>
    <row r="75" spans="1:16">
      <c r="A75" s="13">
        <f t="shared" si="9"/>
        <v>5.8999999999999941</v>
      </c>
      <c r="B75" s="13">
        <v>54.05</v>
      </c>
      <c r="C75" s="13">
        <v>167.8</v>
      </c>
      <c r="D75" s="13"/>
      <c r="F75" s="14">
        <v>5.8999999999999941</v>
      </c>
      <c r="G75" s="14">
        <f t="shared" si="10"/>
        <v>2.0859650045003129</v>
      </c>
      <c r="H75" s="14">
        <v>54.05</v>
      </c>
      <c r="I75" s="14">
        <f t="shared" si="11"/>
        <v>54.37210965435041</v>
      </c>
      <c r="J75" s="14">
        <f t="shared" si="12"/>
        <v>1.1323895899553826</v>
      </c>
      <c r="K75" s="14">
        <v>1.1323895899553826</v>
      </c>
      <c r="O75" s="13">
        <f t="shared" si="13"/>
        <v>2.0859650045003129</v>
      </c>
      <c r="P75" s="13">
        <f t="shared" si="14"/>
        <v>0.18022540074720361</v>
      </c>
    </row>
    <row r="76" spans="1:16">
      <c r="A76" s="13">
        <f t="shared" si="9"/>
        <v>5.9999999999999938</v>
      </c>
      <c r="B76" s="13">
        <v>51.85</v>
      </c>
      <c r="C76" s="13">
        <v>167.9</v>
      </c>
      <c r="D76" s="13"/>
      <c r="F76" s="14">
        <v>5.9999999999999938</v>
      </c>
      <c r="G76" s="14">
        <f t="shared" si="10"/>
        <v>2.1213203435596402</v>
      </c>
      <c r="H76" s="14">
        <v>51.85</v>
      </c>
      <c r="I76" s="14">
        <f t="shared" si="11"/>
        <v>52.127933293627159</v>
      </c>
      <c r="J76" s="14">
        <f t="shared" si="12"/>
        <v>1.1059885912731215</v>
      </c>
      <c r="K76" s="14">
        <v>1.1059885912731215</v>
      </c>
      <c r="O76" s="13">
        <f t="shared" si="13"/>
        <v>2.1213203435596402</v>
      </c>
      <c r="P76" s="13">
        <f t="shared" si="14"/>
        <v>0.17602355130435915</v>
      </c>
    </row>
    <row r="77" spans="1:16">
      <c r="A77" s="13">
        <f t="shared" si="9"/>
        <v>6.0999999999999934</v>
      </c>
      <c r="B77" s="13">
        <v>49.77</v>
      </c>
      <c r="C77" s="13">
        <v>167.8</v>
      </c>
      <c r="D77" s="13"/>
      <c r="F77" s="14">
        <v>6.0999999999999934</v>
      </c>
      <c r="G77" s="14">
        <f t="shared" si="10"/>
        <v>2.1566756826189675</v>
      </c>
      <c r="H77" s="14">
        <v>49.77</v>
      </c>
      <c r="I77" s="14">
        <f t="shared" si="11"/>
        <v>50.066603098927295</v>
      </c>
      <c r="J77" s="14">
        <f t="shared" si="12"/>
        <v>1.0814272277333221</v>
      </c>
      <c r="K77" s="14">
        <v>1.0814272277333221</v>
      </c>
      <c r="O77" s="13">
        <f t="shared" si="13"/>
        <v>2.1566756826189675</v>
      </c>
      <c r="P77" s="13">
        <f t="shared" si="14"/>
        <v>0.17211448888792302</v>
      </c>
    </row>
    <row r="78" spans="1:16">
      <c r="A78" s="13">
        <f t="shared" si="9"/>
        <v>6.1999999999999931</v>
      </c>
      <c r="B78" s="13">
        <v>47.85</v>
      </c>
      <c r="C78" s="13">
        <v>167.8</v>
      </c>
      <c r="D78" s="13"/>
      <c r="F78" s="14">
        <v>6.1999999999999931</v>
      </c>
      <c r="G78" s="14">
        <f t="shared" si="10"/>
        <v>2.1920310216782948</v>
      </c>
      <c r="H78" s="14">
        <v>47.85</v>
      </c>
      <c r="I78" s="14">
        <f t="shared" si="11"/>
        <v>48.135160905840287</v>
      </c>
      <c r="J78" s="14">
        <f t="shared" si="12"/>
        <v>1.0581185430552487</v>
      </c>
      <c r="K78" s="14">
        <v>1.0581185430552487</v>
      </c>
      <c r="O78" s="13">
        <f t="shared" si="13"/>
        <v>2.1920310216782948</v>
      </c>
      <c r="P78" s="13">
        <f t="shared" si="14"/>
        <v>0.16840479650443732</v>
      </c>
    </row>
    <row r="79" spans="1:16">
      <c r="A79" s="13">
        <f t="shared" si="9"/>
        <v>6.2999999999999927</v>
      </c>
      <c r="B79" s="13">
        <v>46.02</v>
      </c>
      <c r="C79" s="13">
        <v>167.8</v>
      </c>
      <c r="D79" s="13"/>
      <c r="F79" s="14">
        <v>6.2999999999999927</v>
      </c>
      <c r="G79" s="14">
        <f t="shared" si="10"/>
        <v>2.2273863607376221</v>
      </c>
      <c r="H79" s="14">
        <v>46.02</v>
      </c>
      <c r="I79" s="14">
        <f t="shared" si="11"/>
        <v>46.294255065554239</v>
      </c>
      <c r="J79" s="14">
        <f t="shared" si="12"/>
        <v>1.0356143078041264</v>
      </c>
      <c r="K79" s="14">
        <v>1.0356143078041264</v>
      </c>
      <c r="O79" s="13">
        <f t="shared" si="13"/>
        <v>2.2273863607376221</v>
      </c>
      <c r="P79" s="13">
        <f t="shared" si="14"/>
        <v>0.16482313622371833</v>
      </c>
    </row>
    <row r="80" spans="1:16">
      <c r="A80" s="13">
        <f t="shared" si="9"/>
        <v>6.3999999999999924</v>
      </c>
      <c r="B80" s="13">
        <v>44.34</v>
      </c>
      <c r="C80" s="13">
        <v>167.8</v>
      </c>
      <c r="D80" s="13"/>
      <c r="F80" s="14">
        <v>6.3999999999999924</v>
      </c>
      <c r="G80" s="14">
        <f t="shared" si="10"/>
        <v>2.2627416997969494</v>
      </c>
      <c r="H80" s="14">
        <v>44.34</v>
      </c>
      <c r="I80" s="14">
        <f t="shared" si="11"/>
        <v>44.604243146603103</v>
      </c>
      <c r="J80" s="14">
        <f t="shared" si="12"/>
        <v>1.0146872531950235</v>
      </c>
      <c r="K80" s="14">
        <v>1.0146872531950235</v>
      </c>
      <c r="O80" s="13">
        <f t="shared" si="13"/>
        <v>2.2627416997969494</v>
      </c>
      <c r="P80" s="13">
        <f t="shared" si="14"/>
        <v>0.16149249203832558</v>
      </c>
    </row>
    <row r="81" spans="1:16">
      <c r="A81" s="13">
        <f>A80+0.1</f>
        <v>6.499999999999992</v>
      </c>
      <c r="B81" s="13">
        <v>42.72</v>
      </c>
      <c r="C81" s="13">
        <v>167.8</v>
      </c>
      <c r="D81" s="13"/>
      <c r="F81" s="14">
        <v>6.499999999999992</v>
      </c>
      <c r="G81" s="14">
        <f t="shared" si="10"/>
        <v>2.2980970388562763</v>
      </c>
      <c r="H81" s="14">
        <v>42.72</v>
      </c>
      <c r="I81" s="14">
        <f t="shared" si="11"/>
        <v>42.974588796185934</v>
      </c>
      <c r="J81" s="14">
        <f t="shared" si="12"/>
        <v>0.99424656631624952</v>
      </c>
      <c r="K81" s="14">
        <v>0.99424656631624952</v>
      </c>
      <c r="O81" s="13">
        <f t="shared" si="13"/>
        <v>2.2980970388562763</v>
      </c>
      <c r="P81" s="13">
        <f t="shared" si="14"/>
        <v>0.15823925568137504</v>
      </c>
    </row>
    <row r="82" spans="1:16">
      <c r="A82" s="13">
        <f t="shared" si="9"/>
        <v>6.5999999999999917</v>
      </c>
      <c r="B82" s="13">
        <v>41.17</v>
      </c>
      <c r="C82" s="13">
        <v>167.7</v>
      </c>
      <c r="D82" s="13"/>
      <c r="F82" s="14">
        <v>6.5999999999999917</v>
      </c>
      <c r="G82" s="14">
        <f t="shared" si="10"/>
        <v>2.3334523779156036</v>
      </c>
      <c r="H82" s="14">
        <v>41.17</v>
      </c>
      <c r="I82" s="14">
        <f t="shared" si="11"/>
        <v>41.440047704233763</v>
      </c>
      <c r="J82" s="14">
        <f t="shared" si="12"/>
        <v>0.97474746153829595</v>
      </c>
      <c r="K82" s="14">
        <v>0.97474746153829595</v>
      </c>
      <c r="O82" s="13">
        <f t="shared" si="13"/>
        <v>2.3334523779156036</v>
      </c>
      <c r="P82" s="13">
        <f t="shared" si="14"/>
        <v>0.15513587677009694</v>
      </c>
    </row>
    <row r="83" spans="1:16">
      <c r="A83" s="13">
        <f t="shared" si="9"/>
        <v>6.6999999999999913</v>
      </c>
      <c r="B83" s="13">
        <v>39.76</v>
      </c>
      <c r="C83" s="13">
        <v>167.7</v>
      </c>
      <c r="D83" s="13"/>
      <c r="F83" s="14">
        <v>6.6999999999999913</v>
      </c>
      <c r="G83" s="14">
        <f t="shared" si="10"/>
        <v>2.3688077169749309</v>
      </c>
      <c r="H83" s="14">
        <v>39.76</v>
      </c>
      <c r="I83" s="14">
        <f t="shared" si="11"/>
        <v>40.020799045915332</v>
      </c>
      <c r="J83" s="14">
        <f t="shared" si="12"/>
        <v>0.9564810474570814</v>
      </c>
      <c r="K83" s="14">
        <v>0.9564810474570814</v>
      </c>
      <c r="O83" s="13">
        <f t="shared" si="13"/>
        <v>2.3688077169749309</v>
      </c>
      <c r="P83" s="13">
        <f t="shared" si="14"/>
        <v>0.15222868667650824</v>
      </c>
    </row>
    <row r="84" spans="1:16">
      <c r="A84" s="13">
        <f t="shared" si="9"/>
        <v>6.7999999999999909</v>
      </c>
      <c r="B84" s="13">
        <v>38.36</v>
      </c>
      <c r="C84" s="13">
        <v>167.5</v>
      </c>
      <c r="D84" s="13"/>
      <c r="F84" s="14">
        <v>6.7999999999999909</v>
      </c>
      <c r="G84" s="14">
        <f t="shared" si="10"/>
        <v>2.4041630560342582</v>
      </c>
      <c r="H84" s="14">
        <v>38.36</v>
      </c>
      <c r="I84" s="14">
        <f t="shared" si="11"/>
        <v>38.65771940298508</v>
      </c>
      <c r="J84" s="14">
        <f t="shared" si="12"/>
        <v>0.93871324405042211</v>
      </c>
      <c r="K84" s="14">
        <v>0.93871324405042211</v>
      </c>
      <c r="O84" s="13">
        <f t="shared" si="13"/>
        <v>2.4041630560342582</v>
      </c>
      <c r="P84" s="13">
        <f t="shared" si="14"/>
        <v>0.14940085293645339</v>
      </c>
    </row>
    <row r="85" spans="1:16">
      <c r="A85" s="13">
        <f t="shared" si="9"/>
        <v>6.8999999999999906</v>
      </c>
      <c r="B85" s="13">
        <v>37.08</v>
      </c>
      <c r="C85" s="13">
        <v>167.6</v>
      </c>
      <c r="D85" s="13"/>
      <c r="F85" s="14">
        <v>6.8999999999999906</v>
      </c>
      <c r="G85" s="14">
        <f t="shared" si="10"/>
        <v>2.4395183950935855</v>
      </c>
      <c r="H85" s="14">
        <v>37.08</v>
      </c>
      <c r="I85" s="14">
        <f t="shared" si="11"/>
        <v>37.345489260143204</v>
      </c>
      <c r="J85" s="14">
        <f t="shared" si="12"/>
        <v>0.92138710593111461</v>
      </c>
      <c r="K85" s="14">
        <v>0.92138710593111461</v>
      </c>
      <c r="O85" s="13">
        <f t="shared" si="13"/>
        <v>2.4395183950935855</v>
      </c>
      <c r="P85" s="13">
        <f t="shared" si="14"/>
        <v>0.1466433124100727</v>
      </c>
    </row>
    <row r="86" spans="1:16">
      <c r="A86" s="13">
        <f t="shared" si="9"/>
        <v>6.9999999999999902</v>
      </c>
      <c r="B86" s="13">
        <v>35.83</v>
      </c>
      <c r="C86" s="13">
        <v>167.5</v>
      </c>
      <c r="D86" s="13"/>
      <c r="F86" s="14">
        <v>6.9999999999999902</v>
      </c>
      <c r="G86" s="14">
        <f t="shared" si="10"/>
        <v>2.4748737341529128</v>
      </c>
      <c r="H86" s="14">
        <v>35.83</v>
      </c>
      <c r="I86" s="14">
        <f t="shared" si="11"/>
        <v>36.108083582089556</v>
      </c>
      <c r="J86" s="14">
        <f t="shared" si="12"/>
        <v>0.90483754137197048</v>
      </c>
      <c r="K86" s="14">
        <v>0.90483754137197048</v>
      </c>
      <c r="O86" s="13">
        <f t="shared" si="13"/>
        <v>2.4748737341529128</v>
      </c>
      <c r="P86" s="13">
        <f t="shared" si="14"/>
        <v>0.14400936740446646</v>
      </c>
    </row>
    <row r="87" spans="1:16">
      <c r="A87" s="13">
        <f t="shared" si="9"/>
        <v>7.0999999999999899</v>
      </c>
      <c r="B87" s="13">
        <v>34.700000000000003</v>
      </c>
      <c r="C87" s="13">
        <v>167.5</v>
      </c>
      <c r="D87" s="13"/>
      <c r="F87" s="14">
        <v>7.0999999999999899</v>
      </c>
      <c r="G87" s="14">
        <f t="shared" si="10"/>
        <v>2.5102290732122401</v>
      </c>
      <c r="H87" s="14">
        <v>34.700000000000003</v>
      </c>
      <c r="I87" s="14">
        <f t="shared" si="11"/>
        <v>34.969313432835825</v>
      </c>
      <c r="J87" s="14">
        <f t="shared" si="12"/>
        <v>0.88941479291082137</v>
      </c>
      <c r="K87" s="14">
        <v>0.88941479291082137</v>
      </c>
      <c r="O87" s="13">
        <f t="shared" si="13"/>
        <v>2.5102290732122401</v>
      </c>
      <c r="P87" s="13">
        <f t="shared" si="14"/>
        <v>0.14155476075081166</v>
      </c>
    </row>
    <row r="88" spans="1:16">
      <c r="A88" s="13">
        <f t="shared" si="9"/>
        <v>7.1999999999999895</v>
      </c>
      <c r="B88" s="13">
        <v>33.57</v>
      </c>
      <c r="C88" s="13">
        <v>167.5</v>
      </c>
      <c r="D88" s="13"/>
      <c r="F88" s="14">
        <v>7.1999999999999895</v>
      </c>
      <c r="G88" s="14">
        <f t="shared" si="10"/>
        <v>2.5455844122715674</v>
      </c>
      <c r="H88" s="14">
        <v>33.57</v>
      </c>
      <c r="I88" s="14">
        <f t="shared" si="11"/>
        <v>33.830543283582088</v>
      </c>
      <c r="J88" s="14">
        <f t="shared" si="12"/>
        <v>0.87379667258266414</v>
      </c>
      <c r="K88" s="14">
        <v>0.87379667258266414</v>
      </c>
      <c r="O88" s="13">
        <f t="shared" si="13"/>
        <v>2.5455844122715674</v>
      </c>
      <c r="P88" s="13">
        <f t="shared" si="14"/>
        <v>0.13906905969878142</v>
      </c>
    </row>
    <row r="89" spans="1:16">
      <c r="A89" s="13">
        <f t="shared" si="9"/>
        <v>7.2999999999999892</v>
      </c>
      <c r="B89" s="13">
        <v>32.53</v>
      </c>
      <c r="C89" s="13">
        <v>167.5</v>
      </c>
      <c r="D89" s="13"/>
      <c r="F89" s="14">
        <v>7.2999999999999892</v>
      </c>
      <c r="G89" s="14">
        <f t="shared" si="10"/>
        <v>2.5809397513308943</v>
      </c>
      <c r="H89" s="14">
        <v>32.53</v>
      </c>
      <c r="I89" s="14">
        <f t="shared" si="11"/>
        <v>32.782471641791048</v>
      </c>
      <c r="J89" s="14">
        <f t="shared" si="12"/>
        <v>0.85923987680557767</v>
      </c>
      <c r="K89" s="14">
        <v>0.85923987680557767</v>
      </c>
      <c r="O89" s="13">
        <f t="shared" si="13"/>
        <v>2.5809397513308943</v>
      </c>
      <c r="P89" s="13">
        <f t="shared" si="14"/>
        <v>0.13675227369527887</v>
      </c>
    </row>
    <row r="90" spans="1:16">
      <c r="A90" s="13">
        <f t="shared" si="9"/>
        <v>7.3999999999999888</v>
      </c>
      <c r="B90" s="13">
        <v>31.52</v>
      </c>
      <c r="C90" s="13">
        <v>167.6</v>
      </c>
      <c r="D90" s="13"/>
      <c r="F90" s="14">
        <v>7.3999999999999888</v>
      </c>
      <c r="G90" s="14">
        <f t="shared" si="10"/>
        <v>2.6162950903902216</v>
      </c>
      <c r="H90" s="14">
        <v>31.52</v>
      </c>
      <c r="I90" s="14">
        <f t="shared" si="11"/>
        <v>31.745680190930788</v>
      </c>
      <c r="J90" s="14">
        <f t="shared" si="12"/>
        <v>0.84465770378244565</v>
      </c>
      <c r="K90" s="14">
        <v>0.84465770378244565</v>
      </c>
      <c r="O90" s="13">
        <f t="shared" si="13"/>
        <v>2.6162950903902216</v>
      </c>
      <c r="P90" s="13">
        <f t="shared" si="14"/>
        <v>0.13443144877762614</v>
      </c>
    </row>
    <row r="91" spans="1:16">
      <c r="A91" s="13">
        <f>A90+0.1</f>
        <v>7.4999999999999885</v>
      </c>
      <c r="B91" s="13">
        <v>30.58</v>
      </c>
      <c r="C91" s="13">
        <v>167.6</v>
      </c>
      <c r="D91" s="13"/>
      <c r="F91" s="14">
        <v>7.4999999999999885</v>
      </c>
      <c r="G91" s="14">
        <f t="shared" si="10"/>
        <v>2.6516504294495489</v>
      </c>
      <c r="H91" s="14">
        <v>30.58</v>
      </c>
      <c r="I91" s="14">
        <f t="shared" si="11"/>
        <v>30.79894988066826</v>
      </c>
      <c r="J91" s="14">
        <f t="shared" si="12"/>
        <v>0.83117536493350697</v>
      </c>
      <c r="K91" s="14">
        <v>0.83117536493350697</v>
      </c>
      <c r="O91" s="13">
        <f t="shared" si="13"/>
        <v>2.6516504294495489</v>
      </c>
      <c r="P91" s="13">
        <f t="shared" si="14"/>
        <v>0.13228566790537766</v>
      </c>
    </row>
    <row r="92" spans="1:16">
      <c r="A92" s="13">
        <f t="shared" si="9"/>
        <v>7.5999999999999881</v>
      </c>
      <c r="B92" s="13">
        <v>29.66</v>
      </c>
      <c r="C92" s="13">
        <v>167.7</v>
      </c>
      <c r="D92" s="13"/>
      <c r="F92" s="14">
        <v>7.5999999999999881</v>
      </c>
      <c r="G92" s="14">
        <f t="shared" si="10"/>
        <v>2.6870057685088762</v>
      </c>
      <c r="H92" s="14">
        <v>29.66</v>
      </c>
      <c r="I92" s="14">
        <f t="shared" si="11"/>
        <v>29.85454979129398</v>
      </c>
      <c r="J92" s="14">
        <f t="shared" si="12"/>
        <v>0.81755889668335302</v>
      </c>
      <c r="K92" s="14">
        <v>0.81755889668335302</v>
      </c>
      <c r="O92" s="13">
        <f t="shared" si="13"/>
        <v>2.6870057685088762</v>
      </c>
      <c r="P92" s="13">
        <f t="shared" si="14"/>
        <v>0.1301185396759118</v>
      </c>
    </row>
    <row r="93" spans="1:16">
      <c r="A93" s="13">
        <f t="shared" si="9"/>
        <v>7.6999999999999877</v>
      </c>
      <c r="B93" s="13">
        <v>28.78</v>
      </c>
      <c r="C93" s="13">
        <v>167.6</v>
      </c>
      <c r="D93" s="13"/>
      <c r="F93" s="14">
        <v>7.6999999999999877</v>
      </c>
      <c r="G93" s="14">
        <f t="shared" si="10"/>
        <v>2.7223611075682035</v>
      </c>
      <c r="H93" s="14">
        <v>28.78</v>
      </c>
      <c r="I93" s="14">
        <f t="shared" si="11"/>
        <v>28.986062052505968</v>
      </c>
      <c r="J93" s="14">
        <f t="shared" si="12"/>
        <v>0.80488170670757675</v>
      </c>
      <c r="K93" s="14">
        <v>0.80488170670757675</v>
      </c>
      <c r="O93" s="13">
        <f t="shared" si="13"/>
        <v>2.7223611075682035</v>
      </c>
      <c r="P93" s="13">
        <f t="shared" si="14"/>
        <v>0.12810090222675197</v>
      </c>
    </row>
    <row r="94" spans="1:16">
      <c r="A94" s="13">
        <f t="shared" si="9"/>
        <v>7.7999999999999874</v>
      </c>
      <c r="B94" s="13">
        <v>27.95</v>
      </c>
      <c r="C94" s="13">
        <v>167.5</v>
      </c>
      <c r="D94" s="13"/>
      <c r="F94" s="14">
        <v>7.7999999999999874</v>
      </c>
      <c r="G94" s="14">
        <f t="shared" si="10"/>
        <v>2.7577164466275308</v>
      </c>
      <c r="H94" s="14">
        <v>27.95</v>
      </c>
      <c r="I94" s="14">
        <f t="shared" si="11"/>
        <v>28.16692537313433</v>
      </c>
      <c r="J94" s="14">
        <f t="shared" si="12"/>
        <v>0.79278161395763391</v>
      </c>
      <c r="K94" s="14">
        <v>0.79278161395763391</v>
      </c>
      <c r="O94" s="13">
        <f t="shared" si="13"/>
        <v>2.7577164466275308</v>
      </c>
      <c r="P94" s="13">
        <f t="shared" si="14"/>
        <v>0.12617511265372816</v>
      </c>
    </row>
    <row r="95" spans="1:16">
      <c r="A95" s="13">
        <f>A94+0.1</f>
        <v>7.899999999999987</v>
      </c>
      <c r="B95" s="13">
        <v>27.16</v>
      </c>
      <c r="C95" s="13">
        <v>167.6</v>
      </c>
      <c r="D95" s="13"/>
      <c r="F95" s="14">
        <v>7.899999999999987</v>
      </c>
      <c r="G95" s="14">
        <f t="shared" si="10"/>
        <v>2.7930717856868581</v>
      </c>
      <c r="H95" s="14">
        <v>27.16</v>
      </c>
      <c r="I95" s="14">
        <f t="shared" si="11"/>
        <v>27.354463007159907</v>
      </c>
      <c r="J95" s="14">
        <f t="shared" si="12"/>
        <v>0.78063588519949978</v>
      </c>
      <c r="K95" s="14">
        <v>0.78063588519949978</v>
      </c>
      <c r="O95" s="13">
        <f t="shared" si="13"/>
        <v>2.7930717856868581</v>
      </c>
      <c r="P95" s="13">
        <f t="shared" si="14"/>
        <v>0.12424205988441774</v>
      </c>
    </row>
    <row r="96" spans="1:16">
      <c r="A96" s="13">
        <f>A95+0.1</f>
        <v>7.9999999999999867</v>
      </c>
      <c r="B96" s="13">
        <v>26.4</v>
      </c>
      <c r="C96" s="13">
        <v>167.6</v>
      </c>
      <c r="D96" s="13"/>
      <c r="F96" s="14">
        <v>7.9999999999999867</v>
      </c>
      <c r="G96" s="14">
        <f t="shared" si="10"/>
        <v>2.8284271247461854</v>
      </c>
      <c r="H96" s="14">
        <v>26.4</v>
      </c>
      <c r="I96" s="14">
        <f t="shared" si="11"/>
        <v>26.589021479713605</v>
      </c>
      <c r="J96" s="14">
        <f t="shared" si="12"/>
        <v>0.7690552554643848</v>
      </c>
      <c r="K96" s="14">
        <v>0.7690552554643848</v>
      </c>
      <c r="O96" s="13">
        <f t="shared" si="13"/>
        <v>2.8284271247461854</v>
      </c>
      <c r="P96" s="13">
        <f t="shared" si="14"/>
        <v>0.12239894541795719</v>
      </c>
    </row>
    <row r="97" spans="1:16">
      <c r="A97" s="13">
        <f>A96+0.2</f>
        <v>8.1999999999999869</v>
      </c>
      <c r="B97" s="13">
        <v>24.93</v>
      </c>
      <c r="C97" s="13">
        <v>167.4</v>
      </c>
      <c r="D97" s="13"/>
      <c r="F97" s="14">
        <v>8.1999999999999869</v>
      </c>
      <c r="G97" s="14">
        <f t="shared" si="10"/>
        <v>2.89913780286484</v>
      </c>
      <c r="H97" s="14">
        <v>24.93</v>
      </c>
      <c r="I97" s="14">
        <f t="shared" si="11"/>
        <v>25.138494623655916</v>
      </c>
      <c r="J97" s="14">
        <f t="shared" si="12"/>
        <v>0.74671934801226825</v>
      </c>
      <c r="K97" s="14">
        <v>0.74671934801226825</v>
      </c>
      <c r="O97" s="13">
        <f t="shared" si="13"/>
        <v>2.89913780286484</v>
      </c>
      <c r="P97" s="13">
        <f t="shared" si="14"/>
        <v>0.11884407533850974</v>
      </c>
    </row>
    <row r="98" spans="1:16">
      <c r="A98" s="13">
        <f t="shared" ref="A98:A106" si="15">A97+0.2</f>
        <v>8.3999999999999861</v>
      </c>
      <c r="B98" s="13">
        <v>23.62</v>
      </c>
      <c r="C98" s="13">
        <v>167.4</v>
      </c>
      <c r="D98" s="13"/>
      <c r="F98" s="14">
        <v>8.3999999999999861</v>
      </c>
      <c r="G98" s="14">
        <f t="shared" si="10"/>
        <v>2.9698484809834946</v>
      </c>
      <c r="H98" s="14">
        <v>23.62</v>
      </c>
      <c r="I98" s="14">
        <f t="shared" si="11"/>
        <v>23.817538829151733</v>
      </c>
      <c r="J98" s="14">
        <f t="shared" si="12"/>
        <v>0.72589920074444902</v>
      </c>
      <c r="K98" s="14">
        <v>0.72589920074444902</v>
      </c>
      <c r="O98" s="13">
        <f t="shared" si="13"/>
        <v>2.9698484809834946</v>
      </c>
      <c r="P98" s="13">
        <f t="shared" si="14"/>
        <v>0.1155304459849351</v>
      </c>
    </row>
    <row r="99" spans="1:16">
      <c r="A99" s="13">
        <f t="shared" si="15"/>
        <v>8.5999999999999854</v>
      </c>
      <c r="B99" s="13">
        <v>22.43</v>
      </c>
      <c r="C99" s="13">
        <v>167.3</v>
      </c>
      <c r="D99" s="13"/>
      <c r="F99" s="14">
        <v>8.5999999999999854</v>
      </c>
      <c r="G99" s="14">
        <f t="shared" si="10"/>
        <v>3.0405591591021488</v>
      </c>
      <c r="H99" s="14">
        <v>22.43</v>
      </c>
      <c r="I99" s="14">
        <f t="shared" si="11"/>
        <v>22.631105797967724</v>
      </c>
      <c r="J99" s="14">
        <f t="shared" si="12"/>
        <v>0.70677414228141422</v>
      </c>
      <c r="K99" s="14">
        <v>0.70677414228141422</v>
      </c>
      <c r="O99" s="13">
        <f t="shared" si="13"/>
        <v>3.0405591591021488</v>
      </c>
      <c r="P99" s="13">
        <f t="shared" si="14"/>
        <v>0.11248659839362161</v>
      </c>
    </row>
    <row r="100" spans="1:16">
      <c r="A100" s="13">
        <f t="shared" si="15"/>
        <v>8.7999999999999847</v>
      </c>
      <c r="B100" s="13">
        <v>21.33</v>
      </c>
      <c r="C100" s="13">
        <v>167.4</v>
      </c>
      <c r="D100" s="13"/>
      <c r="F100" s="14">
        <v>8.7999999999999847</v>
      </c>
      <c r="G100" s="14">
        <f t="shared" si="10"/>
        <v>3.1112698372208034</v>
      </c>
      <c r="H100" s="14">
        <v>21.33</v>
      </c>
      <c r="I100" s="14">
        <f t="shared" si="11"/>
        <v>21.508387096774193</v>
      </c>
      <c r="J100" s="14">
        <f t="shared" si="12"/>
        <v>0.68827312281297182</v>
      </c>
      <c r="K100" s="14">
        <v>0.68827312281297182</v>
      </c>
      <c r="O100" s="13">
        <f t="shared" si="13"/>
        <v>3.1112698372208034</v>
      </c>
      <c r="P100" s="13">
        <f t="shared" si="14"/>
        <v>0.10954206969297962</v>
      </c>
    </row>
    <row r="101" spans="1:16">
      <c r="A101" s="13">
        <f t="shared" si="15"/>
        <v>8.999999999999984</v>
      </c>
      <c r="B101" s="13">
        <v>20.29</v>
      </c>
      <c r="C101" s="13">
        <v>167.3</v>
      </c>
      <c r="D101" s="13"/>
      <c r="F101" s="14">
        <v>8.999999999999984</v>
      </c>
      <c r="G101" s="14">
        <f t="shared" si="10"/>
        <v>3.181980515339458</v>
      </c>
      <c r="H101" s="14">
        <v>20.29</v>
      </c>
      <c r="I101" s="14">
        <f t="shared" si="11"/>
        <v>20.471918708906156</v>
      </c>
      <c r="J101" s="14">
        <f t="shared" si="12"/>
        <v>0.67081612211953423</v>
      </c>
      <c r="K101" s="14">
        <v>0.67081612211953423</v>
      </c>
      <c r="O101" s="13">
        <f t="shared" si="13"/>
        <v>3.181980515339458</v>
      </c>
      <c r="P101" s="13">
        <f t="shared" si="14"/>
        <v>0.10676370174106038</v>
      </c>
    </row>
    <row r="102" spans="1:16">
      <c r="A102" s="13">
        <f t="shared" si="15"/>
        <v>9.1999999999999833</v>
      </c>
      <c r="B102" s="13">
        <v>19.32</v>
      </c>
      <c r="C102" s="13">
        <v>167.3</v>
      </c>
      <c r="D102" s="13"/>
      <c r="F102" s="14">
        <v>9.1999999999999833</v>
      </c>
      <c r="G102" s="14">
        <f t="shared" si="10"/>
        <v>3.2526911934581126</v>
      </c>
      <c r="H102" s="14">
        <v>19.32</v>
      </c>
      <c r="I102" s="14">
        <f t="shared" si="11"/>
        <v>19.493221757322175</v>
      </c>
      <c r="J102" s="14">
        <f t="shared" si="12"/>
        <v>0.65397213887872108</v>
      </c>
      <c r="K102" s="14">
        <v>0.65397213887872108</v>
      </c>
      <c r="O102" s="13">
        <f t="shared" si="13"/>
        <v>3.2526911934581126</v>
      </c>
      <c r="P102" s="13">
        <f t="shared" si="14"/>
        <v>0.10408289854692793</v>
      </c>
    </row>
    <row r="103" spans="1:16">
      <c r="A103" s="13">
        <f t="shared" si="15"/>
        <v>9.3999999999999826</v>
      </c>
      <c r="B103" s="13">
        <v>18.43</v>
      </c>
      <c r="C103" s="13">
        <v>167.3</v>
      </c>
      <c r="D103" s="13"/>
      <c r="F103" s="14">
        <v>9.3999999999999826</v>
      </c>
      <c r="G103" s="14">
        <f t="shared" si="10"/>
        <v>3.3234018715767668</v>
      </c>
      <c r="H103" s="14">
        <v>18.43</v>
      </c>
      <c r="I103" s="14">
        <f t="shared" si="11"/>
        <v>18.595242080095638</v>
      </c>
      <c r="J103" s="14">
        <f t="shared" si="12"/>
        <v>0.63818503944463922</v>
      </c>
      <c r="K103" s="14">
        <v>0.63818503944463922</v>
      </c>
      <c r="O103" s="13">
        <f t="shared" si="13"/>
        <v>3.3234018715767668</v>
      </c>
      <c r="P103" s="13">
        <f t="shared" si="14"/>
        <v>0.10157030363491054</v>
      </c>
    </row>
    <row r="104" spans="1:16">
      <c r="A104" s="13">
        <f>A103+0.2</f>
        <v>9.5999999999999819</v>
      </c>
      <c r="B104" s="13">
        <v>17.61</v>
      </c>
      <c r="C104" s="13">
        <v>167.3</v>
      </c>
      <c r="D104" s="13"/>
      <c r="F104" s="14">
        <v>9.5999999999999819</v>
      </c>
      <c r="G104" s="14">
        <f t="shared" si="10"/>
        <v>3.3941125496954214</v>
      </c>
      <c r="H104" s="14">
        <v>17.61</v>
      </c>
      <c r="I104" s="14">
        <f t="shared" si="11"/>
        <v>17.767890017931858</v>
      </c>
      <c r="J104" s="14">
        <f t="shared" si="12"/>
        <v>0.62333626188437308</v>
      </c>
      <c r="K104" s="14">
        <v>0.62333626188437308</v>
      </c>
      <c r="O104" s="13">
        <f t="shared" si="13"/>
        <v>3.3941125496954214</v>
      </c>
      <c r="P104" s="13">
        <f t="shared" si="14"/>
        <v>9.9207047287322173E-2</v>
      </c>
    </row>
    <row r="105" spans="1:16">
      <c r="A105" s="13">
        <f t="shared" si="15"/>
        <v>9.7999999999999812</v>
      </c>
      <c r="B105" s="13">
        <v>16.850000000000001</v>
      </c>
      <c r="C105" s="13">
        <v>167.4</v>
      </c>
      <c r="D105" s="13"/>
      <c r="F105" s="14">
        <v>9.7999999999999812</v>
      </c>
      <c r="G105" s="14">
        <f t="shared" si="10"/>
        <v>3.464823227814076</v>
      </c>
      <c r="H105" s="14">
        <v>16.850000000000001</v>
      </c>
      <c r="I105" s="14">
        <f t="shared" si="11"/>
        <v>16.990919952210277</v>
      </c>
      <c r="J105" s="14">
        <f t="shared" si="12"/>
        <v>0.60910693449381637</v>
      </c>
      <c r="K105" s="14">
        <v>0.60910693449381637</v>
      </c>
      <c r="O105" s="13">
        <f t="shared" si="13"/>
        <v>3.464823227814076</v>
      </c>
      <c r="P105" s="13">
        <f t="shared" si="14"/>
        <v>9.6942379496242168E-2</v>
      </c>
    </row>
    <row r="106" spans="1:16">
      <c r="A106" s="13">
        <f t="shared" si="15"/>
        <v>9.9999999999999805</v>
      </c>
      <c r="B106" s="13">
        <v>16.11</v>
      </c>
      <c r="C106" s="13">
        <v>167.4</v>
      </c>
      <c r="D106" s="13"/>
      <c r="F106" s="14">
        <v>9.9999999999999805</v>
      </c>
      <c r="G106" s="14">
        <f t="shared" si="10"/>
        <v>3.5355339059327306</v>
      </c>
      <c r="H106" s="14">
        <v>16.11</v>
      </c>
      <c r="I106" s="14">
        <f t="shared" si="11"/>
        <v>16.244731182795697</v>
      </c>
      <c r="J106" s="14">
        <f t="shared" si="12"/>
        <v>0.59516260267308863</v>
      </c>
      <c r="K106" s="14">
        <v>0.59516260267308863</v>
      </c>
      <c r="O106" s="13">
        <f t="shared" si="13"/>
        <v>3.5355339059327306</v>
      </c>
      <c r="P106" s="13">
        <f t="shared" si="14"/>
        <v>9.4723070158859737E-2</v>
      </c>
    </row>
    <row r="107" spans="1:16">
      <c r="A107" s="13">
        <f>A106+0.5</f>
        <v>10.49999999999998</v>
      </c>
      <c r="B107" s="13">
        <v>14.53</v>
      </c>
      <c r="C107" s="13">
        <v>167.4</v>
      </c>
      <c r="D107" s="13"/>
      <c r="F107" s="14">
        <v>10.49999999999998</v>
      </c>
      <c r="G107" s="14">
        <f t="shared" si="10"/>
        <v>3.7123106012293672</v>
      </c>
      <c r="H107" s="14">
        <v>14.53</v>
      </c>
      <c r="I107" s="14">
        <f t="shared" si="11"/>
        <v>14.651517323775389</v>
      </c>
      <c r="J107" s="14">
        <f t="shared" si="12"/>
        <v>0.56437934037573045</v>
      </c>
      <c r="K107" s="14">
        <v>0.56437934037573045</v>
      </c>
      <c r="O107" s="13">
        <f t="shared" si="13"/>
        <v>3.7123106012293672</v>
      </c>
      <c r="P107" s="13">
        <f t="shared" si="14"/>
        <v>8.9823761799740817E-2</v>
      </c>
    </row>
    <row r="108" spans="1:16">
      <c r="A108" s="13">
        <f t="shared" ref="A108:A126" si="16">A107+0.5</f>
        <v>10.99999999999998</v>
      </c>
      <c r="B108" s="13">
        <v>13.15</v>
      </c>
      <c r="C108" s="13">
        <v>167.4</v>
      </c>
      <c r="D108" s="13"/>
      <c r="F108" s="14">
        <v>10.99999999999998</v>
      </c>
      <c r="G108" s="14">
        <f t="shared" si="10"/>
        <v>3.8890872965260042</v>
      </c>
      <c r="H108" s="14">
        <v>13.15</v>
      </c>
      <c r="I108" s="14">
        <f t="shared" si="11"/>
        <v>13.259976105137396</v>
      </c>
      <c r="J108" s="14">
        <f t="shared" si="12"/>
        <v>0.53621303394944531</v>
      </c>
      <c r="K108" s="14">
        <v>0.53621303394944531</v>
      </c>
      <c r="O108" s="13">
        <f t="shared" si="13"/>
        <v>3.8890872965260042</v>
      </c>
      <c r="P108" s="13">
        <f t="shared" si="14"/>
        <v>8.5340954903356511E-2</v>
      </c>
    </row>
    <row r="109" spans="1:16">
      <c r="A109" s="13">
        <f t="shared" si="16"/>
        <v>11.49999999999998</v>
      </c>
      <c r="B109" s="13">
        <v>11.96</v>
      </c>
      <c r="C109" s="13">
        <v>167.4</v>
      </c>
      <c r="D109" s="13"/>
      <c r="F109" s="14">
        <v>11.49999999999998</v>
      </c>
      <c r="G109" s="14">
        <f t="shared" si="10"/>
        <v>4.0658639918226411</v>
      </c>
      <c r="H109" s="14">
        <v>11.96</v>
      </c>
      <c r="I109" s="14">
        <f t="shared" si="11"/>
        <v>12.060023894862605</v>
      </c>
      <c r="J109" s="14">
        <f t="shared" si="12"/>
        <v>0.51080660415422074</v>
      </c>
      <c r="K109" s="14">
        <v>0.51080660415422074</v>
      </c>
      <c r="O109" s="13">
        <f t="shared" si="13"/>
        <v>4.0658639918226411</v>
      </c>
      <c r="P109" s="13">
        <f t="shared" si="14"/>
        <v>8.1297396015129308E-2</v>
      </c>
    </row>
    <row r="110" spans="1:16">
      <c r="A110" s="13">
        <f t="shared" si="16"/>
        <v>11.99999999999998</v>
      </c>
      <c r="B110" s="13">
        <v>10.93</v>
      </c>
      <c r="C110" s="13">
        <v>167.4</v>
      </c>
      <c r="D110" s="13"/>
      <c r="F110" s="14">
        <v>11.99999999999998</v>
      </c>
      <c r="G110" s="14">
        <f t="shared" si="10"/>
        <v>4.2426406871192777</v>
      </c>
      <c r="H110" s="14">
        <v>10.93</v>
      </c>
      <c r="I110" s="14">
        <f t="shared" si="11"/>
        <v>11.021409796893668</v>
      </c>
      <c r="J110" s="14">
        <f t="shared" si="12"/>
        <v>0.48784781626603202</v>
      </c>
      <c r="K110" s="14">
        <v>0.48784781626603202</v>
      </c>
      <c r="O110" s="13">
        <f t="shared" si="13"/>
        <v>4.2426406871192777</v>
      </c>
      <c r="P110" s="13">
        <f t="shared" si="14"/>
        <v>7.764339143532574E-2</v>
      </c>
    </row>
    <row r="111" spans="1:16">
      <c r="A111" s="13">
        <f t="shared" si="16"/>
        <v>12.49999999999998</v>
      </c>
      <c r="B111" s="13">
        <v>10.01</v>
      </c>
      <c r="C111" s="13">
        <v>167.5</v>
      </c>
      <c r="D111" s="13"/>
      <c r="F111" s="14">
        <v>12.49999999999998</v>
      </c>
      <c r="G111" s="14">
        <f t="shared" si="10"/>
        <v>4.4194173824159151</v>
      </c>
      <c r="H111" s="14">
        <v>10.01</v>
      </c>
      <c r="I111" s="14">
        <f t="shared" si="11"/>
        <v>10.087689552238807</v>
      </c>
      <c r="J111" s="14">
        <f t="shared" si="12"/>
        <v>0.46632489834306634</v>
      </c>
      <c r="K111" s="14">
        <v>0.46632489834306634</v>
      </c>
      <c r="O111" s="13">
        <f t="shared" si="13"/>
        <v>4.4194173824159151</v>
      </c>
      <c r="P111" s="13">
        <f t="shared" si="14"/>
        <v>7.4217912658124607E-2</v>
      </c>
    </row>
    <row r="112" spans="1:16">
      <c r="A112" s="13">
        <f t="shared" si="16"/>
        <v>12.99999999999998</v>
      </c>
      <c r="B112" s="13">
        <v>9.25</v>
      </c>
      <c r="C112" s="13">
        <v>167.5</v>
      </c>
      <c r="D112" s="13"/>
      <c r="F112" s="14">
        <v>12.99999999999998</v>
      </c>
      <c r="G112" s="14">
        <f t="shared" si="10"/>
        <v>4.5961940777125516</v>
      </c>
      <c r="H112" s="14">
        <v>9.25</v>
      </c>
      <c r="I112" s="14">
        <f t="shared" si="11"/>
        <v>9.3217910447761199</v>
      </c>
      <c r="J112" s="14">
        <f t="shared" si="12"/>
        <v>0.44795820940195141</v>
      </c>
      <c r="K112" s="14">
        <v>0.44795820940195141</v>
      </c>
      <c r="O112" s="13">
        <f t="shared" si="13"/>
        <v>4.5961940777125516</v>
      </c>
      <c r="P112" s="13">
        <f t="shared" si="14"/>
        <v>7.1294763324914912E-2</v>
      </c>
    </row>
    <row r="113" spans="1:16">
      <c r="A113" s="13">
        <f t="shared" si="16"/>
        <v>13.49999999999998</v>
      </c>
      <c r="B113" s="13">
        <v>8.5399999999999991</v>
      </c>
      <c r="C113" s="13">
        <v>167.5</v>
      </c>
      <c r="D113" s="13"/>
      <c r="F113" s="14">
        <v>13.49999999999998</v>
      </c>
      <c r="G113" s="14">
        <f t="shared" si="10"/>
        <v>4.7729707730091882</v>
      </c>
      <c r="H113" s="14">
        <v>8.5399999999999991</v>
      </c>
      <c r="I113" s="14">
        <f t="shared" si="11"/>
        <v>8.6062805970149245</v>
      </c>
      <c r="J113" s="14">
        <f t="shared" si="12"/>
        <v>0.43014170789017614</v>
      </c>
      <c r="K113" s="14">
        <v>0.43014170789017614</v>
      </c>
      <c r="O113" s="13">
        <f t="shared" si="13"/>
        <v>4.7729707730091882</v>
      </c>
      <c r="P113" s="13">
        <f t="shared" si="14"/>
        <v>6.8459179040711651E-2</v>
      </c>
    </row>
    <row r="114" spans="1:16">
      <c r="A114" s="13">
        <f t="shared" si="16"/>
        <v>13.99999999999998</v>
      </c>
      <c r="B114" s="13">
        <v>7.87</v>
      </c>
      <c r="C114" s="13">
        <v>167.4</v>
      </c>
      <c r="D114" s="13"/>
      <c r="F114" s="14">
        <v>13.99999999999998</v>
      </c>
      <c r="G114" s="14">
        <f t="shared" si="10"/>
        <v>4.9497474683058256</v>
      </c>
      <c r="H114" s="14">
        <v>7.87</v>
      </c>
      <c r="I114" s="14">
        <f t="shared" si="11"/>
        <v>7.9358183990442059</v>
      </c>
      <c r="J114" s="14">
        <f t="shared" si="12"/>
        <v>0.41279485774327984</v>
      </c>
      <c r="K114" s="14">
        <v>0.41279485774327984</v>
      </c>
      <c r="O114" s="13">
        <f t="shared" si="13"/>
        <v>4.9497474683058256</v>
      </c>
      <c r="P114" s="13">
        <f t="shared" si="14"/>
        <v>6.5698342092758738E-2</v>
      </c>
    </row>
    <row r="115" spans="1:16">
      <c r="A115" s="13">
        <f t="shared" si="16"/>
        <v>14.49999999999998</v>
      </c>
      <c r="B115" s="13">
        <v>7.32</v>
      </c>
      <c r="C115" s="13">
        <v>167.4</v>
      </c>
      <c r="D115" s="13"/>
      <c r="F115" s="14">
        <v>14.49999999999998</v>
      </c>
      <c r="G115" s="14">
        <f t="shared" si="10"/>
        <v>5.1265241636024621</v>
      </c>
      <c r="H115" s="14">
        <v>7.32</v>
      </c>
      <c r="I115" s="14">
        <f t="shared" si="11"/>
        <v>7.3812186379928324</v>
      </c>
      <c r="J115" s="14">
        <f t="shared" si="12"/>
        <v>0.39790873255428183</v>
      </c>
      <c r="K115" s="14">
        <v>0.39790873255428183</v>
      </c>
      <c r="O115" s="13">
        <f t="shared" si="13"/>
        <v>5.1265241636024621</v>
      </c>
      <c r="P115" s="13">
        <f t="shared" si="14"/>
        <v>6.3329141685444929E-2</v>
      </c>
    </row>
    <row r="116" spans="1:16">
      <c r="A116" s="13">
        <f t="shared" si="16"/>
        <v>14.99999999999998</v>
      </c>
      <c r="B116" s="13">
        <v>6.84</v>
      </c>
      <c r="C116" s="13">
        <v>167.5</v>
      </c>
      <c r="D116" s="13"/>
      <c r="F116" s="14">
        <v>14.99999999999998</v>
      </c>
      <c r="G116" s="14">
        <f t="shared" si="10"/>
        <v>5.3033008588990995</v>
      </c>
      <c r="H116" s="14">
        <v>6.84</v>
      </c>
      <c r="I116" s="14">
        <f t="shared" si="11"/>
        <v>6.8930865671641799</v>
      </c>
      <c r="J116" s="14">
        <f t="shared" si="12"/>
        <v>0.38435626816614543</v>
      </c>
      <c r="K116" s="14">
        <v>0.38435626816614543</v>
      </c>
      <c r="O116" s="13">
        <f t="shared" si="13"/>
        <v>5.3033008588990995</v>
      </c>
      <c r="P116" s="13">
        <f t="shared" si="14"/>
        <v>6.1172199986996141E-2</v>
      </c>
    </row>
    <row r="117" spans="1:16">
      <c r="A117" s="13">
        <f>A116+0.5</f>
        <v>15.49999999999998</v>
      </c>
      <c r="B117" s="13">
        <v>6.38</v>
      </c>
      <c r="C117" s="13">
        <v>167.5</v>
      </c>
      <c r="D117" s="13"/>
      <c r="F117" s="14">
        <v>15.49999999999998</v>
      </c>
      <c r="G117" s="14">
        <f t="shared" si="10"/>
        <v>5.4800775541957361</v>
      </c>
      <c r="H117" s="14">
        <v>6.38</v>
      </c>
      <c r="I117" s="14">
        <f t="shared" si="11"/>
        <v>6.4295164179104471</v>
      </c>
      <c r="J117" s="14">
        <f t="shared" si="12"/>
        <v>0.37105129306928619</v>
      </c>
      <c r="K117" s="14">
        <v>0.37105129306928619</v>
      </c>
      <c r="O117" s="13">
        <f t="shared" si="13"/>
        <v>5.4800775541957361</v>
      </c>
      <c r="P117" s="13">
        <f t="shared" si="14"/>
        <v>5.9054647432616424E-2</v>
      </c>
    </row>
    <row r="118" spans="1:16">
      <c r="A118" s="13">
        <f t="shared" si="16"/>
        <v>15.99999999999998</v>
      </c>
      <c r="B118" s="13">
        <v>5.98</v>
      </c>
      <c r="C118" s="13">
        <v>167.5</v>
      </c>
      <c r="D118" s="13"/>
      <c r="F118" s="14">
        <v>15.99999999999998</v>
      </c>
      <c r="G118" s="14">
        <f t="shared" si="10"/>
        <v>5.6568542494923726</v>
      </c>
      <c r="H118" s="14">
        <v>5.98</v>
      </c>
      <c r="I118" s="14">
        <f t="shared" si="11"/>
        <v>6.0264119402985079</v>
      </c>
      <c r="J118" s="14">
        <f t="shared" si="12"/>
        <v>0.35910044979843159</v>
      </c>
      <c r="K118" s="14">
        <v>0.35910044979843159</v>
      </c>
      <c r="O118" s="13">
        <f t="shared" si="13"/>
        <v>5.6568542494923726</v>
      </c>
      <c r="P118" s="13">
        <f t="shared" si="14"/>
        <v>5.7152611651943401E-2</v>
      </c>
    </row>
    <row r="119" spans="1:16">
      <c r="A119" s="13">
        <f t="shared" si="16"/>
        <v>16.499999999999979</v>
      </c>
      <c r="B119" s="13">
        <v>5.62</v>
      </c>
      <c r="C119" s="13">
        <v>167.5</v>
      </c>
      <c r="D119" s="13"/>
      <c r="F119" s="14">
        <v>16.499999999999979</v>
      </c>
      <c r="G119" s="14">
        <f t="shared" si="10"/>
        <v>5.8336309447890091</v>
      </c>
      <c r="H119" s="14">
        <v>5.62</v>
      </c>
      <c r="I119" s="14">
        <f t="shared" si="11"/>
        <v>5.663617910447762</v>
      </c>
      <c r="J119" s="14">
        <f t="shared" si="12"/>
        <v>0.34800966482533746</v>
      </c>
      <c r="K119" s="14">
        <v>0.34800966482533746</v>
      </c>
      <c r="O119" s="13">
        <f t="shared" si="13"/>
        <v>5.8336309447890091</v>
      </c>
      <c r="P119" s="13">
        <f t="shared" si="14"/>
        <v>5.5387458400706156E-2</v>
      </c>
    </row>
    <row r="120" spans="1:16">
      <c r="A120" s="13">
        <f t="shared" si="16"/>
        <v>16.999999999999979</v>
      </c>
      <c r="B120" s="13">
        <v>5.28</v>
      </c>
      <c r="C120" s="13">
        <v>167.5</v>
      </c>
      <c r="D120" s="13"/>
      <c r="F120" s="14">
        <v>16.999999999999979</v>
      </c>
      <c r="G120" s="14">
        <f t="shared" si="10"/>
        <v>6.0104076400856457</v>
      </c>
      <c r="H120" s="14">
        <v>5.28</v>
      </c>
      <c r="I120" s="14">
        <f t="shared" si="11"/>
        <v>5.3209791044776127</v>
      </c>
      <c r="J120" s="14">
        <f t="shared" si="12"/>
        <v>0.33721430415579756</v>
      </c>
      <c r="K120" s="14">
        <v>0.33721430415579756</v>
      </c>
      <c r="O120" s="13">
        <f t="shared" si="13"/>
        <v>6.0104076400856457</v>
      </c>
      <c r="P120" s="13">
        <f t="shared" si="14"/>
        <v>5.3669323387689045E-2</v>
      </c>
    </row>
    <row r="121" spans="1:16">
      <c r="A121" s="13">
        <f>A120+0.5</f>
        <v>17.499999999999979</v>
      </c>
      <c r="B121" s="13">
        <v>4.97</v>
      </c>
      <c r="C121" s="13">
        <v>167.5</v>
      </c>
      <c r="D121" s="13"/>
      <c r="F121" s="14">
        <v>17.499999999999979</v>
      </c>
      <c r="G121" s="14">
        <f t="shared" si="10"/>
        <v>6.1871843353822831</v>
      </c>
      <c r="H121" s="14">
        <v>4.97</v>
      </c>
      <c r="I121" s="14">
        <f t="shared" si="11"/>
        <v>5.0085731343283584</v>
      </c>
      <c r="J121" s="14">
        <f t="shared" si="12"/>
        <v>0.32707330169510929</v>
      </c>
      <c r="K121" s="14">
        <v>0.32707330169510929</v>
      </c>
      <c r="O121" s="13">
        <f t="shared" si="13"/>
        <v>6.1871843353822831</v>
      </c>
      <c r="P121" s="13">
        <f t="shared" si="14"/>
        <v>5.2055332718163434E-2</v>
      </c>
    </row>
    <row r="122" spans="1:16">
      <c r="A122" s="13">
        <f t="shared" si="16"/>
        <v>17.999999999999979</v>
      </c>
      <c r="B122" s="13">
        <v>4.67</v>
      </c>
      <c r="C122" s="13">
        <v>167.5</v>
      </c>
      <c r="D122" s="13"/>
      <c r="F122" s="14">
        <v>17.999999999999979</v>
      </c>
      <c r="G122" s="14">
        <f t="shared" si="10"/>
        <v>6.3639610306789196</v>
      </c>
      <c r="H122" s="14">
        <v>4.67</v>
      </c>
      <c r="I122" s="14">
        <f t="shared" si="11"/>
        <v>4.7062447761194033</v>
      </c>
      <c r="J122" s="14">
        <f t="shared" si="12"/>
        <v>0.31696207283946443</v>
      </c>
      <c r="K122" s="14">
        <v>0.31696207283946443</v>
      </c>
      <c r="O122" s="13">
        <f t="shared" si="13"/>
        <v>6.3639610306789196</v>
      </c>
      <c r="P122" s="13">
        <f t="shared" si="14"/>
        <v>5.0446080665054148E-2</v>
      </c>
    </row>
    <row r="123" spans="1:16">
      <c r="A123" s="13">
        <f>A122+0.5</f>
        <v>18.499999999999979</v>
      </c>
      <c r="B123" s="13">
        <v>4.43</v>
      </c>
      <c r="C123" s="13">
        <v>167.5</v>
      </c>
      <c r="D123" s="13"/>
      <c r="F123" s="14">
        <v>18.499999999999979</v>
      </c>
      <c r="G123" s="14">
        <f t="shared" si="10"/>
        <v>6.540737725975557</v>
      </c>
      <c r="H123" s="14">
        <v>4.43</v>
      </c>
      <c r="I123" s="14">
        <f t="shared" si="11"/>
        <v>4.464382089552239</v>
      </c>
      <c r="J123" s="14">
        <f t="shared" si="12"/>
        <v>0.30864296979562145</v>
      </c>
      <c r="K123" s="14">
        <v>0.30864296979562145</v>
      </c>
      <c r="O123" s="13">
        <f t="shared" si="13"/>
        <v>6.540737725975557</v>
      </c>
      <c r="P123" s="13">
        <f t="shared" si="14"/>
        <v>4.9122054293535701E-2</v>
      </c>
    </row>
    <row r="124" spans="1:16">
      <c r="A124" s="13">
        <f t="shared" si="16"/>
        <v>18.999999999999979</v>
      </c>
      <c r="B124" s="13">
        <v>4.18</v>
      </c>
      <c r="C124" s="13">
        <v>167.5</v>
      </c>
      <c r="D124" s="13"/>
      <c r="F124" s="14">
        <v>18.999999999999979</v>
      </c>
      <c r="G124" s="14">
        <f t="shared" si="10"/>
        <v>6.7175144212721936</v>
      </c>
      <c r="H124" s="14">
        <v>4.18</v>
      </c>
      <c r="I124" s="14">
        <f t="shared" si="11"/>
        <v>4.2124417910447756</v>
      </c>
      <c r="J124" s="14">
        <f t="shared" si="12"/>
        <v>0.29973986031431976</v>
      </c>
      <c r="K124" s="14">
        <v>0.29973986031431976</v>
      </c>
      <c r="O124" s="13">
        <f t="shared" si="13"/>
        <v>6.7175144212721936</v>
      </c>
      <c r="P124" s="13">
        <f t="shared" si="14"/>
        <v>4.7705080410698222E-2</v>
      </c>
    </row>
    <row r="125" spans="1:16">
      <c r="A125" s="13">
        <f t="shared" si="16"/>
        <v>19.499999999999979</v>
      </c>
      <c r="B125" s="13">
        <v>3.92</v>
      </c>
      <c r="C125" s="13">
        <v>167.5</v>
      </c>
      <c r="D125" s="13"/>
      <c r="F125" s="14">
        <v>19.499999999999979</v>
      </c>
      <c r="G125" s="14">
        <f t="shared" si="10"/>
        <v>6.8942911165688301</v>
      </c>
      <c r="H125" s="14">
        <v>3.92</v>
      </c>
      <c r="I125" s="14">
        <f t="shared" si="11"/>
        <v>3.9504238805970151</v>
      </c>
      <c r="J125" s="14">
        <f t="shared" si="12"/>
        <v>0.29019999733180857</v>
      </c>
      <c r="K125" s="14">
        <v>0.29019999733180857</v>
      </c>
      <c r="O125" s="13">
        <f t="shared" si="13"/>
        <v>6.8942911165688301</v>
      </c>
      <c r="P125" s="13">
        <f t="shared" si="14"/>
        <v>4.6186764060612173E-2</v>
      </c>
    </row>
    <row r="126" spans="1:16">
      <c r="A126" s="13">
        <f t="shared" si="16"/>
        <v>19.999999999999979</v>
      </c>
      <c r="B126" s="13">
        <v>3.75</v>
      </c>
      <c r="C126" s="13">
        <v>167.5</v>
      </c>
      <c r="D126" s="13"/>
      <c r="F126" s="14">
        <v>19.999999999999979</v>
      </c>
      <c r="G126" s="14">
        <f t="shared" si="10"/>
        <v>7.0710678118654675</v>
      </c>
      <c r="H126" s="14">
        <v>3.75</v>
      </c>
      <c r="I126" s="14">
        <f t="shared" si="11"/>
        <v>3.7791044776119405</v>
      </c>
      <c r="J126" s="14">
        <f t="shared" si="12"/>
        <v>0.28379410920832804</v>
      </c>
      <c r="K126" s="14">
        <v>0.28379410920832804</v>
      </c>
      <c r="O126" s="13">
        <f t="shared" si="13"/>
        <v>7.0710678118654675</v>
      </c>
      <c r="P126" s="13">
        <f t="shared" si="14"/>
        <v>4.5167235300866582E-2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80F9-8D03-4878-9A3C-541D4EB8FF4C}">
  <dimension ref="A1:M126"/>
  <sheetViews>
    <sheetView topLeftCell="A7" workbookViewId="0">
      <selection activeCell="L29" sqref="L29"/>
    </sheetView>
  </sheetViews>
  <sheetFormatPr defaultRowHeight="14.5"/>
  <cols>
    <col min="2" max="2" width="13.7265625" customWidth="1"/>
    <col min="3" max="3" width="16" style="12" customWidth="1"/>
    <col min="4" max="4" width="14.453125" customWidth="1"/>
    <col min="5" max="5" width="14" customWidth="1"/>
    <col min="6" max="6" width="17" customWidth="1"/>
    <col min="7" max="7" width="16.1796875" customWidth="1"/>
    <col min="8" max="8" width="16" style="12" customWidth="1"/>
  </cols>
  <sheetData>
    <row r="1" spans="1:13">
      <c r="A1" s="14" t="s">
        <v>4</v>
      </c>
      <c r="B1" s="14" t="s">
        <v>28</v>
      </c>
      <c r="C1" s="14" t="s">
        <v>5</v>
      </c>
      <c r="D1" s="14" t="s">
        <v>27</v>
      </c>
      <c r="E1" s="14" t="s">
        <v>29</v>
      </c>
      <c r="F1" s="14" t="s">
        <v>30</v>
      </c>
      <c r="G1" s="14" t="s">
        <v>26</v>
      </c>
      <c r="H1" s="14" t="s">
        <v>5</v>
      </c>
      <c r="I1" s="14" t="s">
        <v>31</v>
      </c>
    </row>
    <row r="2" spans="1:13">
      <c r="A2" s="14">
        <v>0.1</v>
      </c>
      <c r="B2" s="15">
        <v>6.8699999999999997E-2</v>
      </c>
      <c r="C2" s="14">
        <f>A2/2/SQRT(2)</f>
        <v>3.5355339059327376E-2</v>
      </c>
      <c r="D2" s="14">
        <f t="shared" ref="D2:D33" si="0">2*G$63-G2</f>
        <v>4.6139085308513668</v>
      </c>
      <c r="E2" s="16">
        <f t="shared" ref="E2:E33" si="1">D2/2/PI()</f>
        <v>0.73432634965885968</v>
      </c>
      <c r="F2">
        <v>210.01</v>
      </c>
      <c r="G2" s="17">
        <f t="shared" ref="G2:G33" si="2">ACOS(1-2*(B2/MAX(B$2:B$71)))</f>
        <v>1.6692767763282197</v>
      </c>
      <c r="H2" s="14">
        <v>3.5355339059327376E-2</v>
      </c>
      <c r="I2">
        <f>ACOS(1-2*(B2/MAX(B$2:B$73)))</f>
        <v>1.6692767763282197</v>
      </c>
      <c r="M2">
        <f>ACOS(1-2*(I2/MAX(I$2:I$126)))</f>
        <v>1.6335320723455407</v>
      </c>
    </row>
    <row r="3" spans="1:13">
      <c r="A3" s="14">
        <v>0.2</v>
      </c>
      <c r="B3" s="15">
        <v>6.9000000000000006E-2</v>
      </c>
      <c r="C3" s="14">
        <f t="shared" ref="C3:C66" si="3">A3/2/SQRT(2)</f>
        <v>7.0710678118654752E-2</v>
      </c>
      <c r="D3" s="14">
        <f t="shared" si="0"/>
        <v>4.6090878491996197</v>
      </c>
      <c r="E3" s="16">
        <f t="shared" si="1"/>
        <v>0.73355911434491172</v>
      </c>
      <c r="G3" s="17">
        <f t="shared" si="2"/>
        <v>1.6740974579799663</v>
      </c>
      <c r="H3" s="14">
        <v>7.0710678118654752E-2</v>
      </c>
      <c r="I3">
        <f t="shared" ref="I3:I66" si="4">ACOS(1-2*(B3/MAX(B$2:B$73)))</f>
        <v>1.6740974579799663</v>
      </c>
    </row>
    <row r="4" spans="1:13">
      <c r="A4" s="14">
        <v>0.30000000000000004</v>
      </c>
      <c r="B4" s="15">
        <v>6.9099999999999995E-2</v>
      </c>
      <c r="C4" s="14">
        <f t="shared" si="3"/>
        <v>0.10606601717798214</v>
      </c>
      <c r="D4" s="14">
        <f t="shared" si="0"/>
        <v>4.6074804253847041</v>
      </c>
      <c r="E4" s="16">
        <f t="shared" si="1"/>
        <v>0.73330328489912433</v>
      </c>
      <c r="G4" s="17">
        <f t="shared" si="2"/>
        <v>1.6757048817948816</v>
      </c>
      <c r="H4" s="14">
        <v>0.10606601717798214</v>
      </c>
      <c r="I4">
        <f t="shared" si="4"/>
        <v>1.6757048817948816</v>
      </c>
    </row>
    <row r="5" spans="1:13">
      <c r="A5" s="14">
        <v>0.4</v>
      </c>
      <c r="B5" s="15">
        <v>6.9199999999999998E-2</v>
      </c>
      <c r="C5" s="14">
        <f t="shared" si="3"/>
        <v>0.1414213562373095</v>
      </c>
      <c r="D5" s="14">
        <f t="shared" si="0"/>
        <v>4.6058727294607014</v>
      </c>
      <c r="E5" s="16">
        <f t="shared" si="1"/>
        <v>0.73304741214583058</v>
      </c>
      <c r="G5" s="17">
        <f t="shared" si="2"/>
        <v>1.6773125777188849</v>
      </c>
      <c r="H5" s="14">
        <v>0.1414213562373095</v>
      </c>
      <c r="I5">
        <f t="shared" si="4"/>
        <v>1.6773125777188849</v>
      </c>
    </row>
    <row r="6" spans="1:13">
      <c r="A6" s="14">
        <v>0.5</v>
      </c>
      <c r="B6" s="15">
        <v>6.93E-2</v>
      </c>
      <c r="C6" s="14">
        <f t="shared" si="3"/>
        <v>0.17677669529663687</v>
      </c>
      <c r="D6" s="14">
        <f t="shared" si="0"/>
        <v>4.6042647571318547</v>
      </c>
      <c r="E6" s="16">
        <f t="shared" si="1"/>
        <v>0.7327914954013397</v>
      </c>
      <c r="G6" s="17">
        <f t="shared" si="2"/>
        <v>1.6789205500477318</v>
      </c>
      <c r="H6" s="14">
        <v>0.17677669529663687</v>
      </c>
      <c r="I6">
        <f t="shared" si="4"/>
        <v>1.6789205500477318</v>
      </c>
    </row>
    <row r="7" spans="1:13">
      <c r="A7" s="14">
        <v>0.6</v>
      </c>
      <c r="B7" s="15">
        <v>6.9199999999999998E-2</v>
      </c>
      <c r="C7" s="14">
        <f t="shared" si="3"/>
        <v>0.21213203435596423</v>
      </c>
      <c r="D7" s="14">
        <f t="shared" si="0"/>
        <v>4.6058727294607014</v>
      </c>
      <c r="E7" s="16">
        <f t="shared" si="1"/>
        <v>0.73304741214583058</v>
      </c>
      <c r="G7" s="17">
        <f t="shared" si="2"/>
        <v>1.6773125777188849</v>
      </c>
      <c r="H7" s="14">
        <v>0.21213203435596423</v>
      </c>
      <c r="I7">
        <f t="shared" si="4"/>
        <v>1.6773125777188849</v>
      </c>
    </row>
    <row r="8" spans="1:13">
      <c r="A8" s="14">
        <v>0.7</v>
      </c>
      <c r="B8" s="15">
        <v>6.9199999999999998E-2</v>
      </c>
      <c r="C8" s="14">
        <f t="shared" si="3"/>
        <v>0.24748737341529159</v>
      </c>
      <c r="D8" s="14">
        <f t="shared" si="0"/>
        <v>4.6058727294607014</v>
      </c>
      <c r="E8" s="16">
        <f t="shared" si="1"/>
        <v>0.73304741214583058</v>
      </c>
      <c r="G8" s="17">
        <f t="shared" si="2"/>
        <v>1.6773125777188849</v>
      </c>
      <c r="H8" s="14">
        <v>0.24748737341529159</v>
      </c>
      <c r="I8">
        <f t="shared" si="4"/>
        <v>1.6773125777188849</v>
      </c>
    </row>
    <row r="9" spans="1:13">
      <c r="A9" s="14">
        <v>0.79999999999999993</v>
      </c>
      <c r="B9" s="15">
        <v>6.9099999999999995E-2</v>
      </c>
      <c r="C9" s="14">
        <f t="shared" si="3"/>
        <v>0.28284271247461895</v>
      </c>
      <c r="D9" s="14">
        <f t="shared" si="0"/>
        <v>4.6074804253847041</v>
      </c>
      <c r="E9" s="16">
        <f t="shared" si="1"/>
        <v>0.73330328489912433</v>
      </c>
      <c r="G9" s="17">
        <f t="shared" si="2"/>
        <v>1.6757048817948816</v>
      </c>
      <c r="H9" s="14">
        <v>0.28284271247461895</v>
      </c>
      <c r="I9">
        <f t="shared" si="4"/>
        <v>1.6757048817948816</v>
      </c>
    </row>
    <row r="10" spans="1:13">
      <c r="A10" s="14">
        <v>0.89999999999999991</v>
      </c>
      <c r="B10" s="15">
        <v>6.9199999999999998E-2</v>
      </c>
      <c r="C10" s="14">
        <f t="shared" si="3"/>
        <v>0.31819805153394631</v>
      </c>
      <c r="D10" s="14">
        <f t="shared" si="0"/>
        <v>4.6058727294607014</v>
      </c>
      <c r="E10" s="16">
        <f t="shared" si="1"/>
        <v>0.73304741214583058</v>
      </c>
      <c r="G10" s="17">
        <f t="shared" si="2"/>
        <v>1.6773125777188849</v>
      </c>
      <c r="H10" s="14">
        <v>0.31819805153394631</v>
      </c>
      <c r="I10">
        <f t="shared" si="4"/>
        <v>1.6773125777188849</v>
      </c>
    </row>
    <row r="11" spans="1:13">
      <c r="A11" s="14">
        <v>0.99999999999999989</v>
      </c>
      <c r="B11" s="15">
        <v>6.9000000000000006E-2</v>
      </c>
      <c r="C11" s="14">
        <f t="shared" si="3"/>
        <v>0.35355339059327368</v>
      </c>
      <c r="D11" s="14">
        <f t="shared" si="0"/>
        <v>4.6090878491996197</v>
      </c>
      <c r="E11" s="16">
        <f t="shared" si="1"/>
        <v>0.73355911434491172</v>
      </c>
      <c r="G11" s="17">
        <f t="shared" si="2"/>
        <v>1.6740974579799663</v>
      </c>
      <c r="H11" s="14">
        <v>0.35355339059327368</v>
      </c>
      <c r="I11">
        <f t="shared" si="4"/>
        <v>1.6740974579799663</v>
      </c>
    </row>
    <row r="12" spans="1:13">
      <c r="A12" s="14">
        <v>1.0999999999999999</v>
      </c>
      <c r="B12" s="15">
        <v>6.9199999999999998E-2</v>
      </c>
      <c r="C12" s="14">
        <f t="shared" si="3"/>
        <v>0.38890872965260104</v>
      </c>
      <c r="D12" s="14">
        <f t="shared" si="0"/>
        <v>4.6058727294607014</v>
      </c>
      <c r="E12" s="16">
        <f t="shared" si="1"/>
        <v>0.73304741214583058</v>
      </c>
      <c r="G12" s="17">
        <f t="shared" si="2"/>
        <v>1.6773125777188849</v>
      </c>
      <c r="H12" s="14">
        <v>0.38890872965260104</v>
      </c>
      <c r="I12">
        <f t="shared" si="4"/>
        <v>1.6773125777188849</v>
      </c>
    </row>
    <row r="13" spans="1:13">
      <c r="A13" s="14">
        <v>1.2</v>
      </c>
      <c r="B13" s="15">
        <v>6.9199999999999998E-2</v>
      </c>
      <c r="C13" s="14">
        <f t="shared" si="3"/>
        <v>0.42426406871192845</v>
      </c>
      <c r="D13" s="14">
        <f t="shared" si="0"/>
        <v>4.6058727294607014</v>
      </c>
      <c r="E13" s="16">
        <f t="shared" si="1"/>
        <v>0.73304741214583058</v>
      </c>
      <c r="G13" s="17">
        <f t="shared" si="2"/>
        <v>1.6773125777188849</v>
      </c>
      <c r="H13" s="14">
        <v>0.42426406871192845</v>
      </c>
      <c r="I13">
        <f t="shared" si="4"/>
        <v>1.6773125777188849</v>
      </c>
    </row>
    <row r="14" spans="1:13">
      <c r="A14" s="14">
        <v>1.3</v>
      </c>
      <c r="B14" s="15">
        <v>6.93E-2</v>
      </c>
      <c r="C14" s="14">
        <f t="shared" si="3"/>
        <v>0.45961940777125587</v>
      </c>
      <c r="D14" s="14">
        <f t="shared" si="0"/>
        <v>4.6042647571318547</v>
      </c>
      <c r="E14" s="16">
        <f t="shared" si="1"/>
        <v>0.7327914954013397</v>
      </c>
      <c r="G14" s="17">
        <f t="shared" si="2"/>
        <v>1.6789205500477318</v>
      </c>
      <c r="H14" s="14">
        <v>0.45961940777125587</v>
      </c>
      <c r="I14">
        <f t="shared" si="4"/>
        <v>1.6789205500477318</v>
      </c>
    </row>
    <row r="15" spans="1:13">
      <c r="A15" s="14">
        <v>1.4000000000000001</v>
      </c>
      <c r="B15" s="15">
        <v>6.9199999999999998E-2</v>
      </c>
      <c r="C15" s="14">
        <f t="shared" si="3"/>
        <v>0.49497474683058329</v>
      </c>
      <c r="D15" s="14">
        <f t="shared" si="0"/>
        <v>4.6058727294607014</v>
      </c>
      <c r="E15" s="16">
        <f t="shared" si="1"/>
        <v>0.73304741214583058</v>
      </c>
      <c r="F15" s="18"/>
      <c r="G15" s="17">
        <f t="shared" si="2"/>
        <v>1.6773125777188849</v>
      </c>
      <c r="H15" s="14">
        <v>0.49497474683058329</v>
      </c>
      <c r="I15">
        <f t="shared" si="4"/>
        <v>1.6773125777188849</v>
      </c>
    </row>
    <row r="16" spans="1:13">
      <c r="A16" s="14">
        <v>1.5000000000000002</v>
      </c>
      <c r="B16" s="15">
        <v>6.93E-2</v>
      </c>
      <c r="C16" s="14">
        <f t="shared" si="3"/>
        <v>0.53033008588991071</v>
      </c>
      <c r="D16" s="14">
        <f t="shared" si="0"/>
        <v>4.6042647571318547</v>
      </c>
      <c r="E16" s="16">
        <f t="shared" si="1"/>
        <v>0.7327914954013397</v>
      </c>
      <c r="F16" s="18">
        <v>7.0999999999999994E-2</v>
      </c>
      <c r="G16" s="17">
        <f t="shared" si="2"/>
        <v>1.6789205500477318</v>
      </c>
      <c r="H16" s="14">
        <v>0.53033008588991071</v>
      </c>
      <c r="I16">
        <f t="shared" si="4"/>
        <v>1.6789205500477318</v>
      </c>
    </row>
    <row r="17" spans="1:9">
      <c r="A17" s="14">
        <v>1.6000000000000003</v>
      </c>
      <c r="B17" s="15">
        <v>6.9199999999999998E-2</v>
      </c>
      <c r="C17" s="14">
        <f t="shared" si="3"/>
        <v>0.56568542494923812</v>
      </c>
      <c r="D17" s="14">
        <f t="shared" si="0"/>
        <v>4.6058727294607014</v>
      </c>
      <c r="E17" s="16">
        <f t="shared" si="1"/>
        <v>0.73304741214583058</v>
      </c>
      <c r="F17" s="18"/>
      <c r="G17" s="17">
        <f t="shared" si="2"/>
        <v>1.6773125777188849</v>
      </c>
      <c r="H17" s="14">
        <v>0.56568542494923812</v>
      </c>
      <c r="I17">
        <f t="shared" si="4"/>
        <v>1.6773125777188849</v>
      </c>
    </row>
    <row r="18" spans="1:9">
      <c r="A18" s="14">
        <v>1.7000000000000004</v>
      </c>
      <c r="B18" s="15">
        <v>6.9199999999999998E-2</v>
      </c>
      <c r="C18" s="14">
        <f t="shared" si="3"/>
        <v>0.60104076400856554</v>
      </c>
      <c r="D18" s="14">
        <f t="shared" si="0"/>
        <v>4.6058727294607014</v>
      </c>
      <c r="E18" s="16">
        <f t="shared" si="1"/>
        <v>0.73304741214583058</v>
      </c>
      <c r="F18" s="18"/>
      <c r="G18" s="17">
        <f t="shared" si="2"/>
        <v>1.6773125777188849</v>
      </c>
      <c r="H18" s="14">
        <v>0.60104076400856554</v>
      </c>
      <c r="I18">
        <f t="shared" si="4"/>
        <v>1.6773125777188849</v>
      </c>
    </row>
    <row r="19" spans="1:9">
      <c r="A19" s="14">
        <v>1.8000000000000005</v>
      </c>
      <c r="B19" s="15">
        <v>6.93E-2</v>
      </c>
      <c r="C19" s="14">
        <f t="shared" si="3"/>
        <v>0.63639610306789285</v>
      </c>
      <c r="D19" s="14">
        <f t="shared" si="0"/>
        <v>4.6042647571318547</v>
      </c>
      <c r="E19" s="16">
        <f t="shared" si="1"/>
        <v>0.7327914954013397</v>
      </c>
      <c r="F19" s="18"/>
      <c r="G19" s="17">
        <f t="shared" si="2"/>
        <v>1.6789205500477318</v>
      </c>
      <c r="H19" s="14">
        <v>0.63639610306789285</v>
      </c>
      <c r="I19">
        <f t="shared" si="4"/>
        <v>1.6789205500477318</v>
      </c>
    </row>
    <row r="20" spans="1:9">
      <c r="A20" s="14">
        <v>1.9000000000000006</v>
      </c>
      <c r="B20" s="15">
        <v>6.93E-2</v>
      </c>
      <c r="C20" s="14">
        <f t="shared" si="3"/>
        <v>0.67175144212722027</v>
      </c>
      <c r="D20" s="14">
        <f t="shared" si="0"/>
        <v>4.6042647571318547</v>
      </c>
      <c r="E20" s="16">
        <f t="shared" si="1"/>
        <v>0.7327914954013397</v>
      </c>
      <c r="F20" s="18"/>
      <c r="G20" s="17">
        <f t="shared" si="2"/>
        <v>1.6789205500477318</v>
      </c>
      <c r="H20" s="14">
        <v>0.67175144212722027</v>
      </c>
      <c r="I20">
        <f t="shared" si="4"/>
        <v>1.6789205500477318</v>
      </c>
    </row>
    <row r="21" spans="1:9">
      <c r="A21" s="14">
        <v>2.0000000000000004</v>
      </c>
      <c r="B21" s="15">
        <v>6.93E-2</v>
      </c>
      <c r="C21" s="14">
        <f t="shared" si="3"/>
        <v>0.70710678118654768</v>
      </c>
      <c r="D21" s="14">
        <f t="shared" si="0"/>
        <v>4.6042647571318547</v>
      </c>
      <c r="E21" s="16">
        <f t="shared" si="1"/>
        <v>0.7327914954013397</v>
      </c>
      <c r="F21" s="18"/>
      <c r="G21" s="17">
        <f t="shared" si="2"/>
        <v>1.6789205500477318</v>
      </c>
      <c r="H21" s="14">
        <v>0.70710678118654768</v>
      </c>
      <c r="I21">
        <f t="shared" si="4"/>
        <v>1.6789205500477318</v>
      </c>
    </row>
    <row r="22" spans="1:9">
      <c r="A22" s="14">
        <v>2.1000000000000005</v>
      </c>
      <c r="B22" s="15">
        <v>6.93E-2</v>
      </c>
      <c r="C22" s="14">
        <f t="shared" si="3"/>
        <v>0.74246212024587499</v>
      </c>
      <c r="D22" s="14">
        <f t="shared" si="0"/>
        <v>4.6042647571318547</v>
      </c>
      <c r="E22" s="16">
        <f t="shared" si="1"/>
        <v>0.7327914954013397</v>
      </c>
      <c r="F22" s="18"/>
      <c r="G22" s="17">
        <f t="shared" si="2"/>
        <v>1.6789205500477318</v>
      </c>
      <c r="H22" s="14">
        <v>0.74246212024587499</v>
      </c>
      <c r="I22">
        <f t="shared" si="4"/>
        <v>1.6789205500477318</v>
      </c>
    </row>
    <row r="23" spans="1:9">
      <c r="A23" s="14">
        <v>2.2000000000000006</v>
      </c>
      <c r="B23" s="15">
        <v>6.9400000000000003E-2</v>
      </c>
      <c r="C23" s="14">
        <f t="shared" si="3"/>
        <v>0.77781745930520241</v>
      </c>
      <c r="D23" s="14">
        <f t="shared" si="0"/>
        <v>4.6026565040958527</v>
      </c>
      <c r="E23" s="16">
        <f t="shared" si="1"/>
        <v>0.73253553398091742</v>
      </c>
      <c r="F23" s="18"/>
      <c r="G23" s="17">
        <f t="shared" si="2"/>
        <v>1.6805288030837333</v>
      </c>
      <c r="H23" s="14">
        <v>0.77781745930520241</v>
      </c>
      <c r="I23">
        <f t="shared" si="4"/>
        <v>1.6805288030837333</v>
      </c>
    </row>
    <row r="24" spans="1:9">
      <c r="A24" s="14">
        <v>2.3000000000000007</v>
      </c>
      <c r="B24" s="15">
        <v>6.9400000000000003E-2</v>
      </c>
      <c r="C24" s="14">
        <f t="shared" si="3"/>
        <v>0.81317279836452983</v>
      </c>
      <c r="D24" s="14">
        <f t="shared" si="0"/>
        <v>4.6026565040958527</v>
      </c>
      <c r="E24" s="16">
        <f t="shared" si="1"/>
        <v>0.73253553398091742</v>
      </c>
      <c r="F24" s="18"/>
      <c r="G24" s="17">
        <f t="shared" si="2"/>
        <v>1.6805288030837333</v>
      </c>
      <c r="H24" s="14">
        <v>0.81317279836452983</v>
      </c>
      <c r="I24">
        <f t="shared" si="4"/>
        <v>1.6805288030837333</v>
      </c>
    </row>
    <row r="25" spans="1:9">
      <c r="A25" s="14">
        <v>2.4000000000000008</v>
      </c>
      <c r="B25" s="15">
        <v>6.9500000000000006E-2</v>
      </c>
      <c r="C25" s="14">
        <f t="shared" si="3"/>
        <v>0.84852813742385724</v>
      </c>
      <c r="D25" s="14">
        <f t="shared" si="0"/>
        <v>4.6010479660437253</v>
      </c>
      <c r="E25" s="16">
        <f t="shared" si="1"/>
        <v>0.73227952719876988</v>
      </c>
      <c r="F25" s="18"/>
      <c r="G25" s="17">
        <f t="shared" si="2"/>
        <v>1.6821373411358607</v>
      </c>
      <c r="H25" s="14">
        <v>0.84852813742385724</v>
      </c>
      <c r="I25">
        <f t="shared" si="4"/>
        <v>1.6821373411358607</v>
      </c>
    </row>
    <row r="26" spans="1:9">
      <c r="A26" s="14">
        <v>2.5000000000000009</v>
      </c>
      <c r="B26" s="15">
        <v>6.9599999999999995E-2</v>
      </c>
      <c r="C26" s="14">
        <f t="shared" si="3"/>
        <v>0.88388347648318466</v>
      </c>
      <c r="D26" s="14">
        <f t="shared" si="0"/>
        <v>4.5994391386597311</v>
      </c>
      <c r="E26" s="16">
        <f t="shared" si="1"/>
        <v>0.73202347436802562</v>
      </c>
      <c r="F26" s="18"/>
      <c r="G26" s="17">
        <f t="shared" si="2"/>
        <v>1.6837461685198556</v>
      </c>
      <c r="H26" s="14">
        <v>0.88388347648318466</v>
      </c>
      <c r="I26">
        <f t="shared" si="4"/>
        <v>1.6837461685198556</v>
      </c>
    </row>
    <row r="27" spans="1:9">
      <c r="A27" s="14">
        <v>2.600000000000001</v>
      </c>
      <c r="B27" s="15">
        <v>6.9800000000000001E-2</v>
      </c>
      <c r="C27" s="14">
        <f t="shared" si="3"/>
        <v>0.91923881554251208</v>
      </c>
      <c r="D27" s="14">
        <f t="shared" si="0"/>
        <v>4.5962205985986628</v>
      </c>
      <c r="E27" s="16">
        <f t="shared" si="1"/>
        <v>0.73151122780776734</v>
      </c>
      <c r="F27" s="18"/>
      <c r="G27" s="17">
        <f t="shared" si="2"/>
        <v>1.686964708580923</v>
      </c>
      <c r="H27" s="14">
        <v>0.91923881554251208</v>
      </c>
      <c r="I27">
        <f t="shared" si="4"/>
        <v>1.686964708580923</v>
      </c>
    </row>
    <row r="28" spans="1:9">
      <c r="A28" s="14">
        <v>2.7000000000000011</v>
      </c>
      <c r="B28" s="15">
        <v>7.0099999999999996E-2</v>
      </c>
      <c r="C28" s="14">
        <f t="shared" si="3"/>
        <v>0.9545941546018395</v>
      </c>
      <c r="D28" s="14">
        <f t="shared" si="0"/>
        <v>4.5913905102230794</v>
      </c>
      <c r="E28" s="16">
        <f t="shared" si="1"/>
        <v>0.73074249536722258</v>
      </c>
      <c r="F28" s="18"/>
      <c r="G28" s="17">
        <f t="shared" si="2"/>
        <v>1.6917947969565066</v>
      </c>
      <c r="H28" s="14">
        <v>0.9545941546018395</v>
      </c>
      <c r="I28">
        <f t="shared" si="4"/>
        <v>1.6917947969565066</v>
      </c>
    </row>
    <row r="29" spans="1:9">
      <c r="A29" s="14">
        <f>A28+0.1</f>
        <v>2.8000000000000012</v>
      </c>
      <c r="B29" s="15">
        <v>7.0300000000000001E-2</v>
      </c>
      <c r="C29" s="14">
        <f t="shared" si="3"/>
        <v>0.98994949366116691</v>
      </c>
      <c r="D29" s="14">
        <f t="shared" si="0"/>
        <v>4.5881688816848172</v>
      </c>
      <c r="E29" s="16">
        <f t="shared" si="1"/>
        <v>0.73022975726055217</v>
      </c>
      <c r="F29" s="18"/>
      <c r="G29" s="17">
        <f t="shared" si="2"/>
        <v>1.6950164254947691</v>
      </c>
      <c r="H29" s="14">
        <v>0.98994949366116691</v>
      </c>
      <c r="I29">
        <f t="shared" si="4"/>
        <v>1.6950164254947691</v>
      </c>
    </row>
    <row r="30" spans="1:9">
      <c r="A30" s="14">
        <f t="shared" ref="A30:A86" si="5">A29+0.1</f>
        <v>2.9000000000000012</v>
      </c>
      <c r="B30" s="15">
        <v>7.0400000000000004E-2</v>
      </c>
      <c r="C30" s="14">
        <f t="shared" si="3"/>
        <v>1.0253048327204943</v>
      </c>
      <c r="D30" s="14">
        <f t="shared" si="0"/>
        <v>4.5865575834305519</v>
      </c>
      <c r="E30" s="16">
        <f t="shared" si="1"/>
        <v>0.72997331117859054</v>
      </c>
      <c r="G30" s="17">
        <f t="shared" si="2"/>
        <v>1.6966277237490344</v>
      </c>
      <c r="H30" s="14">
        <v>1.0253048327204943</v>
      </c>
      <c r="I30">
        <f t="shared" si="4"/>
        <v>1.6966277237490344</v>
      </c>
    </row>
    <row r="31" spans="1:9">
      <c r="A31" s="14">
        <f t="shared" si="5"/>
        <v>3.0000000000000013</v>
      </c>
      <c r="B31" s="15">
        <v>7.0599999999999996E-2</v>
      </c>
      <c r="C31" s="14">
        <f t="shared" si="3"/>
        <v>1.0606601717798216</v>
      </c>
      <c r="D31" s="14">
        <f t="shared" si="0"/>
        <v>4.5833339970434555</v>
      </c>
      <c r="E31" s="16">
        <f t="shared" si="1"/>
        <v>0.72946026147060039</v>
      </c>
      <c r="G31" s="17">
        <f t="shared" si="2"/>
        <v>1.6998513101361306</v>
      </c>
      <c r="H31" s="14">
        <v>1.0606601717798216</v>
      </c>
      <c r="I31">
        <f t="shared" si="4"/>
        <v>1.6998513101361306</v>
      </c>
    </row>
    <row r="32" spans="1:9">
      <c r="A32" s="14">
        <f t="shared" si="5"/>
        <v>3.1000000000000014</v>
      </c>
      <c r="B32" s="15">
        <v>7.0999999999999994E-2</v>
      </c>
      <c r="C32" s="14">
        <f t="shared" si="3"/>
        <v>1.0960155108391492</v>
      </c>
      <c r="D32" s="14">
        <f t="shared" si="0"/>
        <v>4.5768827415661875</v>
      </c>
      <c r="E32" s="16">
        <f t="shared" si="1"/>
        <v>0.72843351227224451</v>
      </c>
      <c r="G32" s="17">
        <f t="shared" si="2"/>
        <v>1.7063025656133983</v>
      </c>
      <c r="H32" s="14">
        <v>1.0960155108391492</v>
      </c>
      <c r="I32">
        <f t="shared" si="4"/>
        <v>1.7063025656133983</v>
      </c>
    </row>
    <row r="33" spans="1:9">
      <c r="A33" s="14">
        <f t="shared" si="5"/>
        <v>3.2000000000000015</v>
      </c>
      <c r="B33" s="15">
        <v>7.17E-2</v>
      </c>
      <c r="C33" s="14">
        <f t="shared" si="3"/>
        <v>1.1313708498984765</v>
      </c>
      <c r="D33" s="14">
        <f t="shared" si="0"/>
        <v>4.5655792069371399</v>
      </c>
      <c r="E33" s="16">
        <f t="shared" si="1"/>
        <v>0.72663449886162113</v>
      </c>
      <c r="G33" s="17">
        <f t="shared" si="2"/>
        <v>1.7176061002424463</v>
      </c>
      <c r="H33" s="14">
        <v>1.1313708498984765</v>
      </c>
      <c r="I33">
        <f t="shared" si="4"/>
        <v>1.7176061002424463</v>
      </c>
    </row>
    <row r="34" spans="1:9">
      <c r="A34" s="14">
        <f t="shared" si="5"/>
        <v>3.3000000000000016</v>
      </c>
      <c r="B34" s="15">
        <v>7.2599999999999998E-2</v>
      </c>
      <c r="C34" s="14">
        <f t="shared" si="3"/>
        <v>1.166726188957804</v>
      </c>
      <c r="D34" s="14">
        <f t="shared" ref="D34:D65" si="6">2*G$63-G34</f>
        <v>4.5510180637026743</v>
      </c>
      <c r="E34" s="16">
        <f t="shared" ref="E34:E65" si="7">D34/2/PI()</f>
        <v>0.7243170209387868</v>
      </c>
      <c r="G34" s="17">
        <f t="shared" ref="G34:G65" si="8">ACOS(1-2*(B34/MAX(B$2:B$71)))</f>
        <v>1.7321672434769118</v>
      </c>
      <c r="H34" s="14">
        <v>1.166726188957804</v>
      </c>
      <c r="I34">
        <f t="shared" si="4"/>
        <v>1.7321672434769118</v>
      </c>
    </row>
    <row r="35" spans="1:9">
      <c r="A35" s="14">
        <f t="shared" si="5"/>
        <v>3.4000000000000017</v>
      </c>
      <c r="B35" s="15">
        <v>7.3499999999999996E-2</v>
      </c>
      <c r="C35" s="14">
        <f t="shared" si="3"/>
        <v>1.2020815280171313</v>
      </c>
      <c r="D35" s="14">
        <f t="shared" si="6"/>
        <v>4.5364223201988345</v>
      </c>
      <c r="E35" s="16">
        <f t="shared" si="7"/>
        <v>0.72199403621204938</v>
      </c>
      <c r="G35" s="17">
        <f t="shared" si="8"/>
        <v>1.7467629869807515</v>
      </c>
      <c r="H35" s="14">
        <v>1.2020815280171313</v>
      </c>
      <c r="I35">
        <f t="shared" si="4"/>
        <v>1.7467629869807515</v>
      </c>
    </row>
    <row r="36" spans="1:9">
      <c r="A36" s="14">
        <f t="shared" si="5"/>
        <v>3.5000000000000018</v>
      </c>
      <c r="B36" s="15">
        <v>7.46E-2</v>
      </c>
      <c r="C36" s="14">
        <f t="shared" si="3"/>
        <v>1.2374368670764586</v>
      </c>
      <c r="D36" s="14">
        <f t="shared" si="6"/>
        <v>4.5185311527354033</v>
      </c>
      <c r="E36" s="16">
        <f t="shared" si="7"/>
        <v>0.71914656847255942</v>
      </c>
      <c r="G36" s="17">
        <f t="shared" si="8"/>
        <v>1.7646541544441832</v>
      </c>
      <c r="H36" s="14">
        <v>1.2374368670764586</v>
      </c>
      <c r="I36">
        <f t="shared" si="4"/>
        <v>1.7646541544441832</v>
      </c>
    </row>
    <row r="37" spans="1:9">
      <c r="A37" s="14">
        <f t="shared" si="5"/>
        <v>3.6000000000000019</v>
      </c>
      <c r="B37" s="15">
        <v>7.5999999999999998E-2</v>
      </c>
      <c r="C37" s="14">
        <f t="shared" si="3"/>
        <v>1.2727922061357861</v>
      </c>
      <c r="D37" s="14">
        <f t="shared" si="6"/>
        <v>4.4956685028838876</v>
      </c>
      <c r="E37" s="16">
        <f t="shared" si="7"/>
        <v>0.71550786473651151</v>
      </c>
      <c r="G37" s="17">
        <f t="shared" si="8"/>
        <v>1.7875168042956986</v>
      </c>
      <c r="H37" s="14">
        <v>1.2727922061357861</v>
      </c>
      <c r="I37">
        <f t="shared" si="4"/>
        <v>1.7875168042956986</v>
      </c>
    </row>
    <row r="38" spans="1:9">
      <c r="A38" s="14">
        <f t="shared" si="5"/>
        <v>3.700000000000002</v>
      </c>
      <c r="B38" s="15">
        <v>7.7799999999999994E-2</v>
      </c>
      <c r="C38" s="14">
        <f t="shared" si="3"/>
        <v>1.3081475451951134</v>
      </c>
      <c r="D38" s="14">
        <f t="shared" si="6"/>
        <v>4.4661017063810409</v>
      </c>
      <c r="E38" s="16">
        <f t="shared" si="7"/>
        <v>0.71080216292169129</v>
      </c>
      <c r="G38" s="17">
        <f t="shared" si="8"/>
        <v>1.8170836007985456</v>
      </c>
      <c r="H38" s="14">
        <v>1.3081475451951134</v>
      </c>
      <c r="I38">
        <f t="shared" si="4"/>
        <v>1.8170836007985456</v>
      </c>
    </row>
    <row r="39" spans="1:9">
      <c r="A39" s="14">
        <f t="shared" si="5"/>
        <v>3.800000000000002</v>
      </c>
      <c r="B39" s="15">
        <v>7.9699999999999993E-2</v>
      </c>
      <c r="C39" s="14">
        <f t="shared" si="3"/>
        <v>1.343502884254441</v>
      </c>
      <c r="D39" s="14">
        <f t="shared" si="6"/>
        <v>4.4346513760830346</v>
      </c>
      <c r="E39" s="16">
        <f t="shared" si="7"/>
        <v>0.7057966873928907</v>
      </c>
      <c r="G39" s="17">
        <f t="shared" si="8"/>
        <v>1.8485339310965514</v>
      </c>
      <c r="H39" s="14">
        <v>1.343502884254441</v>
      </c>
      <c r="I39">
        <f t="shared" si="4"/>
        <v>1.8485339310965514</v>
      </c>
    </row>
    <row r="40" spans="1:9">
      <c r="A40" s="14">
        <f t="shared" si="5"/>
        <v>3.9000000000000021</v>
      </c>
      <c r="B40" s="15">
        <v>8.1600000000000006E-2</v>
      </c>
      <c r="C40" s="14">
        <f t="shared" si="3"/>
        <v>1.3788582233137683</v>
      </c>
      <c r="D40" s="14">
        <f t="shared" si="6"/>
        <v>4.4029163577071344</v>
      </c>
      <c r="E40" s="16">
        <f t="shared" si="7"/>
        <v>0.70074590234925405</v>
      </c>
      <c r="G40" s="17">
        <f t="shared" si="8"/>
        <v>1.8802689494724514</v>
      </c>
      <c r="H40" s="14">
        <v>1.3788582233137683</v>
      </c>
      <c r="I40">
        <f t="shared" si="4"/>
        <v>1.8802689494724514</v>
      </c>
    </row>
    <row r="41" spans="1:9">
      <c r="A41" s="14">
        <f t="shared" si="5"/>
        <v>4.0000000000000018</v>
      </c>
      <c r="B41" s="15">
        <v>8.4099999999999994E-2</v>
      </c>
      <c r="C41" s="14">
        <f t="shared" si="3"/>
        <v>1.4142135623730956</v>
      </c>
      <c r="D41" s="14">
        <f t="shared" si="6"/>
        <v>4.3606568795819243</v>
      </c>
      <c r="E41" s="16">
        <f t="shared" si="7"/>
        <v>0.69402009751314309</v>
      </c>
      <c r="G41" s="17">
        <f t="shared" si="8"/>
        <v>1.9225284275976622</v>
      </c>
      <c r="H41" s="14">
        <v>1.4142135623730956</v>
      </c>
      <c r="I41">
        <f t="shared" si="4"/>
        <v>1.9225284275976622</v>
      </c>
    </row>
    <row r="42" spans="1:9">
      <c r="A42" s="14">
        <f t="shared" si="5"/>
        <v>4.1000000000000014</v>
      </c>
      <c r="B42" s="15">
        <v>8.6499999999999994E-2</v>
      </c>
      <c r="C42" s="14">
        <f t="shared" si="3"/>
        <v>1.4495689014324229</v>
      </c>
      <c r="D42" s="14">
        <f t="shared" si="6"/>
        <v>4.3194623120884117</v>
      </c>
      <c r="E42" s="16">
        <f t="shared" si="7"/>
        <v>0.68746377846801787</v>
      </c>
      <c r="G42" s="17">
        <f t="shared" si="8"/>
        <v>1.9637229950911748</v>
      </c>
      <c r="H42" s="14">
        <v>1.4495689014324229</v>
      </c>
      <c r="I42">
        <f t="shared" si="4"/>
        <v>1.9637229950911748</v>
      </c>
    </row>
    <row r="43" spans="1:9">
      <c r="A43" s="14">
        <f t="shared" si="5"/>
        <v>4.2000000000000011</v>
      </c>
      <c r="B43" s="15">
        <v>8.8800000000000004E-2</v>
      </c>
      <c r="C43" s="14">
        <f t="shared" si="3"/>
        <v>1.48492424049175</v>
      </c>
      <c r="D43" s="14">
        <f t="shared" si="6"/>
        <v>4.2793135708062362</v>
      </c>
      <c r="E43" s="16">
        <f t="shared" si="7"/>
        <v>0.68107390783404198</v>
      </c>
      <c r="G43" s="17">
        <f t="shared" si="8"/>
        <v>2.0038717363733496</v>
      </c>
      <c r="H43" s="14">
        <v>1.48492424049175</v>
      </c>
      <c r="I43">
        <f t="shared" si="4"/>
        <v>2.0038717363733496</v>
      </c>
    </row>
    <row r="44" spans="1:9">
      <c r="A44" s="14">
        <f t="shared" si="5"/>
        <v>4.3000000000000007</v>
      </c>
      <c r="B44" s="15">
        <v>9.1300000000000006E-2</v>
      </c>
      <c r="C44" s="14">
        <f t="shared" si="3"/>
        <v>1.5202795795510773</v>
      </c>
      <c r="D44" s="14">
        <f t="shared" si="6"/>
        <v>4.2348078584259685</v>
      </c>
      <c r="E44" s="16">
        <f t="shared" si="7"/>
        <v>0.67399060371289621</v>
      </c>
      <c r="G44" s="17">
        <f t="shared" si="8"/>
        <v>2.0483774487536177</v>
      </c>
      <c r="H44" s="14">
        <v>1.5202795795510773</v>
      </c>
      <c r="I44">
        <f t="shared" si="4"/>
        <v>2.0483774487536177</v>
      </c>
    </row>
    <row r="45" spans="1:9">
      <c r="A45" s="14">
        <f t="shared" si="5"/>
        <v>4.4000000000000004</v>
      </c>
      <c r="B45" s="15">
        <v>9.3899999999999997E-2</v>
      </c>
      <c r="C45" s="14">
        <f t="shared" si="3"/>
        <v>1.5556349186104046</v>
      </c>
      <c r="D45" s="14">
        <f t="shared" si="6"/>
        <v>4.1874051175103153</v>
      </c>
      <c r="E45" s="16">
        <f t="shared" si="7"/>
        <v>0.66644622318006552</v>
      </c>
      <c r="G45" s="17">
        <f t="shared" si="8"/>
        <v>2.0957801896692709</v>
      </c>
      <c r="H45" s="14">
        <v>1.5556349186104046</v>
      </c>
      <c r="I45">
        <f t="shared" si="4"/>
        <v>2.0957801896692709</v>
      </c>
    </row>
    <row r="46" spans="1:9">
      <c r="A46" s="14">
        <f t="shared" si="5"/>
        <v>4.5</v>
      </c>
      <c r="B46" s="15">
        <v>9.6299999999999997E-2</v>
      </c>
      <c r="C46" s="14">
        <f t="shared" si="3"/>
        <v>1.5909902576697319</v>
      </c>
      <c r="D46" s="14">
        <f t="shared" si="6"/>
        <v>4.1424646447056102</v>
      </c>
      <c r="E46" s="16">
        <f t="shared" si="7"/>
        <v>0.65929372478830983</v>
      </c>
      <c r="G46" s="17">
        <f t="shared" si="8"/>
        <v>2.1407206624739761</v>
      </c>
      <c r="H46" s="14">
        <v>1.5909902576697319</v>
      </c>
      <c r="I46">
        <f t="shared" si="4"/>
        <v>2.1407206624739761</v>
      </c>
    </row>
    <row r="47" spans="1:9">
      <c r="A47" s="14">
        <f t="shared" si="5"/>
        <v>4.5999999999999996</v>
      </c>
      <c r="B47" s="15">
        <v>9.8900000000000002E-2</v>
      </c>
      <c r="C47" s="14">
        <f t="shared" si="3"/>
        <v>1.626345596729059</v>
      </c>
      <c r="D47" s="14">
        <f t="shared" si="6"/>
        <v>4.0922661908344811</v>
      </c>
      <c r="E47" s="16">
        <f t="shared" si="7"/>
        <v>0.65130439271914919</v>
      </c>
      <c r="G47" s="17">
        <f t="shared" si="8"/>
        <v>2.1909191163451052</v>
      </c>
      <c r="H47" s="14">
        <v>1.626345596729059</v>
      </c>
      <c r="I47">
        <f t="shared" si="4"/>
        <v>2.1909191163451052</v>
      </c>
    </row>
    <row r="48" spans="1:9">
      <c r="A48" s="14">
        <f t="shared" si="5"/>
        <v>4.6999999999999993</v>
      </c>
      <c r="B48" s="15">
        <v>0.1013</v>
      </c>
      <c r="C48" s="14">
        <f t="shared" si="3"/>
        <v>1.6617009357883863</v>
      </c>
      <c r="D48" s="14">
        <f t="shared" si="6"/>
        <v>4.0442777821270894</v>
      </c>
      <c r="E48" s="16">
        <f t="shared" si="7"/>
        <v>0.64366680026225365</v>
      </c>
      <c r="G48" s="17">
        <f t="shared" si="8"/>
        <v>2.2389075250524964</v>
      </c>
      <c r="H48" s="14">
        <v>1.6617009357883863</v>
      </c>
      <c r="I48">
        <f t="shared" si="4"/>
        <v>2.2389075250524964</v>
      </c>
    </row>
    <row r="49" spans="1:9">
      <c r="A49" s="14">
        <f t="shared" si="5"/>
        <v>4.7999999999999989</v>
      </c>
      <c r="B49" s="15">
        <v>0.1038</v>
      </c>
      <c r="C49" s="14">
        <f t="shared" si="3"/>
        <v>1.6970562748477136</v>
      </c>
      <c r="D49" s="14">
        <f t="shared" si="6"/>
        <v>3.9922722553057914</v>
      </c>
      <c r="E49" s="16">
        <f t="shared" si="7"/>
        <v>0.63538986360054595</v>
      </c>
      <c r="G49" s="17">
        <f t="shared" si="8"/>
        <v>2.2909130518737948</v>
      </c>
      <c r="H49" s="14">
        <v>1.6970562748477136</v>
      </c>
      <c r="I49">
        <f t="shared" si="4"/>
        <v>2.2909130518737948</v>
      </c>
    </row>
    <row r="50" spans="1:9">
      <c r="A50" s="14">
        <f t="shared" si="5"/>
        <v>4.8999999999999986</v>
      </c>
      <c r="B50" s="15">
        <v>0.106</v>
      </c>
      <c r="C50" s="14">
        <f t="shared" si="3"/>
        <v>1.7324116139070409</v>
      </c>
      <c r="D50" s="14">
        <f t="shared" si="6"/>
        <v>3.9444636910088215</v>
      </c>
      <c r="E50" s="16">
        <f t="shared" si="7"/>
        <v>0.6277808942705565</v>
      </c>
      <c r="G50" s="17">
        <f t="shared" si="8"/>
        <v>2.3387216161707647</v>
      </c>
      <c r="H50" s="14">
        <v>1.7324116139070409</v>
      </c>
      <c r="I50">
        <f t="shared" si="4"/>
        <v>2.3387216161707647</v>
      </c>
    </row>
    <row r="51" spans="1:9">
      <c r="A51" s="14">
        <f t="shared" si="5"/>
        <v>4.9999999999999982</v>
      </c>
      <c r="B51" s="15">
        <v>0.1081</v>
      </c>
      <c r="C51" s="14">
        <f t="shared" si="3"/>
        <v>1.767766952966368</v>
      </c>
      <c r="D51" s="14">
        <f t="shared" si="6"/>
        <v>3.896671620097516</v>
      </c>
      <c r="E51" s="16">
        <f t="shared" si="7"/>
        <v>0.62017454994442378</v>
      </c>
      <c r="G51" s="17">
        <f t="shared" si="8"/>
        <v>2.3865136870820702</v>
      </c>
      <c r="H51" s="14">
        <v>1.767766952966368</v>
      </c>
      <c r="I51">
        <f t="shared" si="4"/>
        <v>2.3865136870820702</v>
      </c>
    </row>
    <row r="52" spans="1:9">
      <c r="A52" s="14">
        <f t="shared" si="5"/>
        <v>5.0999999999999979</v>
      </c>
      <c r="B52" s="15">
        <v>0.11020000000000001</v>
      </c>
      <c r="C52" s="14">
        <f t="shared" si="3"/>
        <v>1.8031222920256953</v>
      </c>
      <c r="D52" s="14">
        <f t="shared" si="6"/>
        <v>3.8463163642247356</v>
      </c>
      <c r="E52" s="16">
        <f t="shared" si="7"/>
        <v>0.61216026206161356</v>
      </c>
      <c r="G52" s="17">
        <f t="shared" si="8"/>
        <v>2.4368689429548507</v>
      </c>
      <c r="H52" s="14">
        <v>1.8031222920256953</v>
      </c>
      <c r="I52">
        <f t="shared" si="4"/>
        <v>2.4368689429548507</v>
      </c>
    </row>
    <row r="53" spans="1:9">
      <c r="A53" s="14">
        <f t="shared" si="5"/>
        <v>5.1999999999999975</v>
      </c>
      <c r="B53" s="15">
        <v>0.11169999999999999</v>
      </c>
      <c r="C53" s="14">
        <f t="shared" si="3"/>
        <v>1.8384776310850226</v>
      </c>
      <c r="D53" s="14">
        <f t="shared" si="6"/>
        <v>3.8084466904806482</v>
      </c>
      <c r="E53" s="16">
        <f t="shared" si="7"/>
        <v>0.60613311629196476</v>
      </c>
      <c r="G53" s="17">
        <f t="shared" si="8"/>
        <v>2.474738616698938</v>
      </c>
      <c r="H53" s="14">
        <v>1.8384776310850226</v>
      </c>
      <c r="I53">
        <f t="shared" si="4"/>
        <v>2.474738616698938</v>
      </c>
    </row>
    <row r="54" spans="1:9">
      <c r="A54" s="14">
        <f t="shared" si="5"/>
        <v>5.2999999999999972</v>
      </c>
      <c r="B54" s="15">
        <v>0.1132</v>
      </c>
      <c r="C54" s="14">
        <f t="shared" si="3"/>
        <v>1.8738329701443499</v>
      </c>
      <c r="D54" s="14">
        <f t="shared" si="6"/>
        <v>3.7686593019148562</v>
      </c>
      <c r="E54" s="16">
        <f t="shared" si="7"/>
        <v>0.59980075672900102</v>
      </c>
      <c r="G54" s="17">
        <f t="shared" si="8"/>
        <v>2.51452600526473</v>
      </c>
      <c r="H54" s="14">
        <v>1.8738329701443499</v>
      </c>
      <c r="I54">
        <f t="shared" si="4"/>
        <v>2.51452600526473</v>
      </c>
    </row>
    <row r="55" spans="1:9">
      <c r="A55" s="14">
        <f t="shared" si="5"/>
        <v>5.3999999999999968</v>
      </c>
      <c r="B55" s="15">
        <v>0.11459999999999999</v>
      </c>
      <c r="C55" s="14">
        <f t="shared" si="3"/>
        <v>1.909188309203677</v>
      </c>
      <c r="D55" s="14">
        <f t="shared" si="6"/>
        <v>3.7294438099753613</v>
      </c>
      <c r="E55" s="16">
        <f t="shared" si="7"/>
        <v>0.59355941734105</v>
      </c>
      <c r="G55" s="17">
        <f t="shared" si="8"/>
        <v>2.5537414972042249</v>
      </c>
      <c r="H55" s="14">
        <v>1.909188309203677</v>
      </c>
      <c r="I55">
        <f t="shared" si="4"/>
        <v>2.5537414972042249</v>
      </c>
    </row>
    <row r="56" spans="1:9">
      <c r="A56" s="14">
        <f t="shared" si="5"/>
        <v>5.4999999999999964</v>
      </c>
      <c r="B56" s="15">
        <v>0.11609999999999999</v>
      </c>
      <c r="C56" s="14">
        <f t="shared" si="3"/>
        <v>1.9445436482630043</v>
      </c>
      <c r="D56" s="14">
        <f t="shared" si="6"/>
        <v>3.684684203603763</v>
      </c>
      <c r="E56" s="16">
        <f t="shared" si="7"/>
        <v>0.58643570473616258</v>
      </c>
      <c r="G56" s="17">
        <f t="shared" si="8"/>
        <v>2.5985011035758232</v>
      </c>
      <c r="H56" s="14">
        <v>1.9445436482630043</v>
      </c>
      <c r="I56">
        <f t="shared" si="4"/>
        <v>2.5985011035758232</v>
      </c>
    </row>
    <row r="57" spans="1:9">
      <c r="A57" s="14">
        <f t="shared" si="5"/>
        <v>5.5999999999999961</v>
      </c>
      <c r="B57" s="15">
        <v>0.11749999999999999</v>
      </c>
      <c r="C57" s="14">
        <f t="shared" si="3"/>
        <v>1.9798989873223316</v>
      </c>
      <c r="D57" s="14">
        <f t="shared" si="6"/>
        <v>3.6396815256314019</v>
      </c>
      <c r="E57" s="16">
        <f t="shared" si="7"/>
        <v>0.57927330608448857</v>
      </c>
      <c r="G57" s="17">
        <f t="shared" si="8"/>
        <v>2.6435037815481843</v>
      </c>
      <c r="H57" s="14">
        <v>1.9798989873223316</v>
      </c>
      <c r="I57">
        <f t="shared" si="4"/>
        <v>2.6435037815481843</v>
      </c>
    </row>
    <row r="58" spans="1:9">
      <c r="A58" s="14">
        <f t="shared" si="5"/>
        <v>5.6999999999999957</v>
      </c>
      <c r="B58" s="15">
        <v>0.11899999999999999</v>
      </c>
      <c r="C58" s="14">
        <f t="shared" si="3"/>
        <v>2.0152543263816587</v>
      </c>
      <c r="D58" s="14">
        <f t="shared" si="6"/>
        <v>3.5869007092446301</v>
      </c>
      <c r="E58" s="16">
        <f t="shared" si="7"/>
        <v>0.57087297825610817</v>
      </c>
      <c r="G58" s="17">
        <f t="shared" si="8"/>
        <v>2.6962845979349561</v>
      </c>
      <c r="H58" s="14">
        <v>2.0152543263816587</v>
      </c>
      <c r="I58">
        <f t="shared" si="4"/>
        <v>2.6962845979349561</v>
      </c>
    </row>
    <row r="59" spans="1:9">
      <c r="A59" s="14">
        <f t="shared" si="5"/>
        <v>5.7999999999999954</v>
      </c>
      <c r="B59" s="15">
        <v>0.1205</v>
      </c>
      <c r="C59" s="14">
        <f t="shared" si="3"/>
        <v>2.050609665440986</v>
      </c>
      <c r="D59" s="14">
        <f t="shared" si="6"/>
        <v>3.5274958980803612</v>
      </c>
      <c r="E59" s="16">
        <f t="shared" si="7"/>
        <v>0.56141840891587413</v>
      </c>
      <c r="G59" s="17">
        <f t="shared" si="8"/>
        <v>2.755689409099225</v>
      </c>
      <c r="H59" s="14">
        <v>2.050609665440986</v>
      </c>
      <c r="I59">
        <f t="shared" si="4"/>
        <v>2.755689409099225</v>
      </c>
    </row>
    <row r="60" spans="1:9">
      <c r="A60" s="14">
        <f t="shared" si="5"/>
        <v>5.899999999999995</v>
      </c>
      <c r="B60" s="15">
        <v>0.1215</v>
      </c>
      <c r="C60" s="14">
        <f t="shared" si="3"/>
        <v>2.0859650045003133</v>
      </c>
      <c r="D60" s="14">
        <f t="shared" si="6"/>
        <v>3.4825168865225309</v>
      </c>
      <c r="E60" s="16">
        <f t="shared" si="7"/>
        <v>0.55425977689105799</v>
      </c>
      <c r="G60" s="17">
        <f t="shared" si="8"/>
        <v>2.8006684206570553</v>
      </c>
      <c r="H60" s="14">
        <v>2.0859650045003133</v>
      </c>
      <c r="I60">
        <f t="shared" si="4"/>
        <v>2.8006684206570553</v>
      </c>
    </row>
    <row r="61" spans="1:9">
      <c r="A61" s="14">
        <f t="shared" si="5"/>
        <v>5.9999999999999947</v>
      </c>
      <c r="B61" s="15">
        <v>0.12239999999999999</v>
      </c>
      <c r="C61" s="14">
        <f t="shared" si="3"/>
        <v>2.1213203435596406</v>
      </c>
      <c r="D61" s="14">
        <f t="shared" si="6"/>
        <v>3.4364812275405083</v>
      </c>
      <c r="E61" s="16">
        <f t="shared" si="7"/>
        <v>0.54693297420557629</v>
      </c>
      <c r="G61" s="17">
        <f t="shared" si="8"/>
        <v>2.8467040796390779</v>
      </c>
      <c r="H61" s="14">
        <v>2.1213203435596406</v>
      </c>
      <c r="I61">
        <f t="shared" si="4"/>
        <v>2.8467040796390779</v>
      </c>
    </row>
    <row r="62" spans="1:9">
      <c r="A62" s="14">
        <f t="shared" si="5"/>
        <v>6.0999999999999943</v>
      </c>
      <c r="B62" s="15">
        <v>0.12509999999999999</v>
      </c>
      <c r="C62" s="14">
        <f t="shared" si="3"/>
        <v>2.1566756826189679</v>
      </c>
      <c r="D62" s="14">
        <f t="shared" si="6"/>
        <v>3.1415926535897931</v>
      </c>
      <c r="E62" s="16">
        <f t="shared" si="7"/>
        <v>0.5</v>
      </c>
      <c r="G62" s="17">
        <f t="shared" si="8"/>
        <v>3.1415926535897931</v>
      </c>
      <c r="H62" s="14">
        <v>2.1566756826189679</v>
      </c>
      <c r="I62">
        <f t="shared" si="4"/>
        <v>3.1415926535897931</v>
      </c>
    </row>
    <row r="63" spans="1:9">
      <c r="A63" s="14">
        <f t="shared" si="5"/>
        <v>6.199999999999994</v>
      </c>
      <c r="B63" s="15">
        <v>0.12509999999999999</v>
      </c>
      <c r="C63" s="14">
        <f t="shared" si="3"/>
        <v>2.1920310216782952</v>
      </c>
      <c r="D63" s="14">
        <f t="shared" si="6"/>
        <v>3.1415926535897931</v>
      </c>
      <c r="E63" s="16">
        <f t="shared" si="7"/>
        <v>0.5</v>
      </c>
      <c r="G63" s="17">
        <f t="shared" si="8"/>
        <v>3.1415926535897931</v>
      </c>
      <c r="H63" s="14">
        <v>2.1920310216782952</v>
      </c>
      <c r="I63">
        <f t="shared" si="4"/>
        <v>3.1415926535897931</v>
      </c>
    </row>
    <row r="64" spans="1:9">
      <c r="A64" s="14">
        <f>A63+0.1</f>
        <v>6.2999999999999936</v>
      </c>
      <c r="B64" s="15">
        <v>0.125</v>
      </c>
      <c r="C64" s="14">
        <f t="shared" si="3"/>
        <v>2.2273863607376221</v>
      </c>
      <c r="D64" s="14">
        <f t="shared" si="6"/>
        <v>3.1981461183766884</v>
      </c>
      <c r="E64" s="16">
        <f t="shared" si="7"/>
        <v>0.50900076346980783</v>
      </c>
      <c r="G64" s="17">
        <f t="shared" si="8"/>
        <v>3.0850391888028978</v>
      </c>
      <c r="H64" s="14">
        <v>2.2273863607376221</v>
      </c>
      <c r="I64">
        <f t="shared" si="4"/>
        <v>3.0850391888028978</v>
      </c>
    </row>
    <row r="65" spans="1:9">
      <c r="A65" s="14">
        <f t="shared" si="5"/>
        <v>6.3999999999999932</v>
      </c>
      <c r="B65" s="15">
        <v>0.1249</v>
      </c>
      <c r="C65" s="14">
        <f t="shared" si="3"/>
        <v>2.2627416997969494</v>
      </c>
      <c r="D65" s="14">
        <f t="shared" si="6"/>
        <v>3.221581995879836</v>
      </c>
      <c r="E65" s="16">
        <f t="shared" si="7"/>
        <v>0.51273069922012993</v>
      </c>
      <c r="G65" s="17">
        <f t="shared" si="8"/>
        <v>3.0616033112997503</v>
      </c>
      <c r="H65" s="14">
        <v>2.2627416997969494</v>
      </c>
      <c r="I65">
        <f t="shared" si="4"/>
        <v>3.0616033112997503</v>
      </c>
    </row>
    <row r="66" spans="1:9">
      <c r="A66" s="14">
        <f t="shared" si="5"/>
        <v>6.4999999999999929</v>
      </c>
      <c r="B66" s="15">
        <v>0.1245</v>
      </c>
      <c r="C66" s="14">
        <f t="shared" si="3"/>
        <v>2.2980970388562767</v>
      </c>
      <c r="D66" s="14">
        <f t="shared" ref="D66:D73" si="9">2*G$63-G66</f>
        <v>3.2802122838106902</v>
      </c>
      <c r="E66" s="16">
        <f t="shared" ref="E66:E73" si="10">D66/2/PI()</f>
        <v>0.52206199935922648</v>
      </c>
      <c r="G66" s="17">
        <f t="shared" ref="G66:G73" si="11">ACOS(1-2*(B66/MAX(B$2:B$71)))</f>
        <v>3.002973023368896</v>
      </c>
      <c r="H66" s="14">
        <v>2.2980970388562767</v>
      </c>
      <c r="I66">
        <f t="shared" si="4"/>
        <v>3.002973023368896</v>
      </c>
    </row>
    <row r="67" spans="1:9">
      <c r="A67" s="14">
        <f t="shared" si="5"/>
        <v>6.5999999999999925</v>
      </c>
      <c r="B67" s="15">
        <v>0.124</v>
      </c>
      <c r="C67" s="14">
        <f t="shared" ref="C67:C72" si="12">A67/2/SQRT(2)</f>
        <v>2.333452377915604</v>
      </c>
      <c r="D67" s="14">
        <f t="shared" si="9"/>
        <v>3.3294102167383484</v>
      </c>
      <c r="E67" s="16">
        <f t="shared" si="10"/>
        <v>0.52989209357456679</v>
      </c>
      <c r="G67" s="17">
        <f t="shared" si="11"/>
        <v>2.9537750904412379</v>
      </c>
      <c r="H67" s="14">
        <v>2.333452377915604</v>
      </c>
      <c r="I67">
        <f t="shared" ref="I67:I73" si="13">ACOS(1-2*(B67/MAX(B$2:B$73)))</f>
        <v>2.9537750904412379</v>
      </c>
    </row>
    <row r="68" spans="1:9">
      <c r="A68" s="14">
        <f t="shared" si="5"/>
        <v>6.6999999999999922</v>
      </c>
      <c r="B68" s="15">
        <v>0.1207</v>
      </c>
      <c r="C68" s="14">
        <f t="shared" si="12"/>
        <v>2.3688077169749313</v>
      </c>
      <c r="D68" s="14">
        <f t="shared" si="9"/>
        <v>3.518910187026465</v>
      </c>
      <c r="E68" s="16">
        <f t="shared" si="10"/>
        <v>0.56005195056168777</v>
      </c>
      <c r="G68" s="17">
        <f t="shared" si="11"/>
        <v>2.7642751201531213</v>
      </c>
      <c r="H68" s="14">
        <v>2.3688077169749313</v>
      </c>
      <c r="I68">
        <f t="shared" si="13"/>
        <v>2.7642751201531213</v>
      </c>
    </row>
    <row r="69" spans="1:9">
      <c r="A69" s="14">
        <f t="shared" si="5"/>
        <v>6.7999999999999918</v>
      </c>
      <c r="B69" s="15">
        <v>0.11940000000000001</v>
      </c>
      <c r="C69" s="14">
        <f t="shared" si="12"/>
        <v>2.4041630560342586</v>
      </c>
      <c r="D69" s="14">
        <f t="shared" si="9"/>
        <v>3.5718153256068979</v>
      </c>
      <c r="E69" s="16">
        <f t="shared" si="10"/>
        <v>0.56847206488172541</v>
      </c>
      <c r="G69" s="17">
        <f t="shared" si="11"/>
        <v>2.7113699815726884</v>
      </c>
      <c r="H69" s="14">
        <v>2.4041630560342586</v>
      </c>
      <c r="I69">
        <f t="shared" si="13"/>
        <v>2.7113699815726884</v>
      </c>
    </row>
    <row r="70" spans="1:9">
      <c r="A70" s="14">
        <f t="shared" si="5"/>
        <v>6.8999999999999915</v>
      </c>
      <c r="B70" s="15">
        <v>0.1171</v>
      </c>
      <c r="C70" s="14">
        <f t="shared" si="12"/>
        <v>2.4395183950935859</v>
      </c>
      <c r="D70" s="14">
        <f t="shared" si="9"/>
        <v>3.652906595027269</v>
      </c>
      <c r="E70" s="16">
        <f t="shared" si="10"/>
        <v>0.58137814125157417</v>
      </c>
      <c r="G70" s="17">
        <f t="shared" si="11"/>
        <v>2.6302787121523172</v>
      </c>
      <c r="H70" s="14">
        <v>2.4395183950935859</v>
      </c>
      <c r="I70">
        <f t="shared" si="13"/>
        <v>2.6302787121523172</v>
      </c>
    </row>
    <row r="71" spans="1:9">
      <c r="A71" s="14">
        <f t="shared" si="5"/>
        <v>6.9999999999999911</v>
      </c>
      <c r="B71" s="15">
        <v>0.1157</v>
      </c>
      <c r="C71" s="14">
        <f t="shared" si="12"/>
        <v>2.4748737341529132</v>
      </c>
      <c r="D71" s="14">
        <f t="shared" si="9"/>
        <v>3.6969345628138668</v>
      </c>
      <c r="E71" s="16">
        <f t="shared" si="10"/>
        <v>0.58838540995910193</v>
      </c>
      <c r="G71" s="17">
        <f t="shared" si="11"/>
        <v>2.5862507443657194</v>
      </c>
      <c r="H71" s="14">
        <v>2.4748737341529132</v>
      </c>
      <c r="I71">
        <f t="shared" si="13"/>
        <v>2.5862507443657194</v>
      </c>
    </row>
    <row r="72" spans="1:9">
      <c r="A72" s="14">
        <f t="shared" si="5"/>
        <v>7.0999999999999908</v>
      </c>
      <c r="B72" s="15">
        <v>0.1138</v>
      </c>
      <c r="C72" s="14">
        <f t="shared" si="12"/>
        <v>2.5102290732122401</v>
      </c>
      <c r="D72" s="14">
        <f t="shared" si="9"/>
        <v>3.7521222325300787</v>
      </c>
      <c r="E72" s="16">
        <f t="shared" si="10"/>
        <v>0.59716880039216003</v>
      </c>
      <c r="G72" s="17">
        <f t="shared" si="11"/>
        <v>2.5310630746495075</v>
      </c>
      <c r="H72" s="14">
        <v>2.5102290732122401</v>
      </c>
      <c r="I72">
        <f t="shared" si="13"/>
        <v>2.5310630746495075</v>
      </c>
    </row>
    <row r="73" spans="1:9">
      <c r="A73" s="14">
        <f t="shared" si="5"/>
        <v>7.1999999999999904</v>
      </c>
      <c r="B73" s="15">
        <v>0.11269999999999999</v>
      </c>
      <c r="C73" s="14"/>
      <c r="D73" s="14">
        <f t="shared" si="9"/>
        <v>3.7821570199861405</v>
      </c>
      <c r="E73" s="16">
        <f t="shared" si="10"/>
        <v>0.60194898528050667</v>
      </c>
      <c r="G73" s="17">
        <f t="shared" si="11"/>
        <v>2.5010282871934457</v>
      </c>
      <c r="H73" s="14"/>
      <c r="I73">
        <f t="shared" si="13"/>
        <v>2.5010282871934457</v>
      </c>
    </row>
    <row r="74" spans="1:9">
      <c r="A74" s="14">
        <f t="shared" si="5"/>
        <v>7.2999999999999901</v>
      </c>
      <c r="B74" s="15"/>
      <c r="C74" s="14"/>
      <c r="D74" s="14"/>
      <c r="H74" s="14"/>
    </row>
    <row r="75" spans="1:9">
      <c r="A75" s="14">
        <f t="shared" si="5"/>
        <v>7.3999999999999897</v>
      </c>
      <c r="B75" s="15"/>
      <c r="C75" s="14"/>
      <c r="D75" s="14"/>
      <c r="H75" s="14"/>
    </row>
    <row r="76" spans="1:9">
      <c r="A76" s="14">
        <f t="shared" si="5"/>
        <v>7.4999999999999893</v>
      </c>
      <c r="B76" s="15"/>
      <c r="C76" s="14"/>
      <c r="D76" s="14"/>
      <c r="H76" s="14"/>
    </row>
    <row r="77" spans="1:9">
      <c r="A77" s="14">
        <f t="shared" si="5"/>
        <v>7.599999999999989</v>
      </c>
      <c r="B77" s="15"/>
      <c r="C77" s="14"/>
      <c r="D77" s="14"/>
      <c r="H77" s="14"/>
    </row>
    <row r="78" spans="1:9">
      <c r="A78" s="14">
        <f t="shared" si="5"/>
        <v>7.6999999999999886</v>
      </c>
      <c r="B78" s="15"/>
      <c r="C78" s="14"/>
      <c r="D78" s="14"/>
      <c r="H78" s="14"/>
    </row>
    <row r="79" spans="1:9">
      <c r="A79" s="14">
        <f t="shared" si="5"/>
        <v>7.7999999999999883</v>
      </c>
      <c r="B79" s="15"/>
      <c r="C79" s="14"/>
      <c r="D79" s="14"/>
      <c r="H79" s="14"/>
    </row>
    <row r="80" spans="1:9">
      <c r="A80" s="14">
        <f t="shared" si="5"/>
        <v>7.8999999999999879</v>
      </c>
      <c r="B80" s="15"/>
      <c r="C80" s="14"/>
      <c r="D80" s="14"/>
      <c r="H80" s="14"/>
    </row>
    <row r="81" spans="1:8">
      <c r="A81" s="14">
        <f t="shared" si="5"/>
        <v>7.9999999999999876</v>
      </c>
      <c r="B81" s="15"/>
      <c r="C81" s="14"/>
      <c r="D81" s="14"/>
      <c r="H81" s="14"/>
    </row>
    <row r="82" spans="1:8">
      <c r="A82" s="14">
        <f t="shared" si="5"/>
        <v>8.0999999999999872</v>
      </c>
      <c r="B82" s="15"/>
      <c r="C82" s="14"/>
      <c r="D82" s="14"/>
      <c r="H82" s="14"/>
    </row>
    <row r="83" spans="1:8">
      <c r="A83" s="14">
        <f t="shared" si="5"/>
        <v>8.1999999999999869</v>
      </c>
      <c r="B83" s="15"/>
      <c r="C83" s="14"/>
      <c r="D83" s="14"/>
      <c r="H83" s="14"/>
    </row>
    <row r="84" spans="1:8">
      <c r="A84" s="14">
        <f t="shared" si="5"/>
        <v>8.2999999999999865</v>
      </c>
      <c r="B84" s="15"/>
      <c r="C84" s="14"/>
      <c r="D84" s="14"/>
      <c r="H84" s="14"/>
    </row>
    <row r="85" spans="1:8">
      <c r="A85" s="14">
        <f t="shared" si="5"/>
        <v>8.3999999999999861</v>
      </c>
      <c r="B85" s="15"/>
      <c r="C85" s="14"/>
      <c r="D85" s="14"/>
      <c r="H85" s="14"/>
    </row>
    <row r="86" spans="1:8">
      <c r="A86" s="14">
        <f t="shared" si="5"/>
        <v>8.4999999999999858</v>
      </c>
      <c r="B86" s="15"/>
      <c r="C86" s="14"/>
      <c r="D86" s="14"/>
      <c r="H86" s="14"/>
    </row>
    <row r="87" spans="1:8">
      <c r="A87" s="14">
        <v>7.0999999999999899</v>
      </c>
      <c r="B87" s="15"/>
      <c r="C87" s="14"/>
      <c r="D87" s="14"/>
      <c r="H87" s="14"/>
    </row>
    <row r="88" spans="1:8">
      <c r="A88" s="14">
        <v>7.1999999999999895</v>
      </c>
      <c r="B88" s="15"/>
      <c r="C88" s="14"/>
      <c r="D88" s="14"/>
      <c r="H88" s="14"/>
    </row>
    <row r="89" spans="1:8">
      <c r="A89" s="14">
        <v>7.2999999999999892</v>
      </c>
      <c r="B89" s="15"/>
      <c r="C89" s="14"/>
      <c r="D89" s="14"/>
      <c r="H89" s="14"/>
    </row>
    <row r="90" spans="1:8">
      <c r="A90" s="14">
        <v>7.3999999999999888</v>
      </c>
      <c r="B90" s="15"/>
      <c r="C90" s="14"/>
      <c r="D90" s="14"/>
      <c r="H90" s="14"/>
    </row>
    <row r="91" spans="1:8">
      <c r="A91" s="14">
        <v>7.4999999999999885</v>
      </c>
      <c r="B91" s="15"/>
      <c r="C91" s="14"/>
      <c r="D91" s="14"/>
      <c r="H91" s="14"/>
    </row>
    <row r="92" spans="1:8">
      <c r="A92" s="14">
        <v>7.5999999999999881</v>
      </c>
      <c r="B92" s="15"/>
      <c r="C92" s="14"/>
      <c r="D92" s="14"/>
      <c r="H92" s="14"/>
    </row>
    <row r="93" spans="1:8">
      <c r="A93" s="14">
        <v>7.6999999999999877</v>
      </c>
      <c r="B93" s="15"/>
      <c r="C93" s="14"/>
      <c r="D93" s="14"/>
      <c r="H93" s="14"/>
    </row>
    <row r="94" spans="1:8">
      <c r="A94" s="14">
        <v>7.7999999999999874</v>
      </c>
      <c r="B94" s="15"/>
      <c r="C94" s="14"/>
      <c r="D94" s="14"/>
      <c r="H94" s="14"/>
    </row>
    <row r="95" spans="1:8">
      <c r="A95" s="14">
        <v>7.899999999999987</v>
      </c>
      <c r="B95" s="15"/>
      <c r="C95" s="14"/>
      <c r="D95" s="14"/>
      <c r="H95" s="14"/>
    </row>
    <row r="96" spans="1:8">
      <c r="A96" s="14">
        <v>7.9999999999999867</v>
      </c>
      <c r="B96" s="15"/>
      <c r="C96" s="14"/>
      <c r="D96" s="14"/>
      <c r="H96" s="14"/>
    </row>
    <row r="97" spans="1:8">
      <c r="A97" s="14">
        <v>8.1999999999999869</v>
      </c>
      <c r="B97" s="15"/>
      <c r="C97" s="14"/>
      <c r="D97" s="14"/>
      <c r="H97" s="14"/>
    </row>
    <row r="98" spans="1:8">
      <c r="A98" s="14">
        <v>8.3999999999999861</v>
      </c>
      <c r="B98" s="15"/>
      <c r="C98" s="14"/>
      <c r="D98" s="14"/>
      <c r="H98" s="14"/>
    </row>
    <row r="99" spans="1:8">
      <c r="A99" s="14">
        <v>8.5999999999999854</v>
      </c>
      <c r="B99" s="15"/>
      <c r="C99" s="14"/>
      <c r="D99" s="14"/>
      <c r="H99" s="14"/>
    </row>
    <row r="100" spans="1:8">
      <c r="A100" s="14">
        <v>8.7999999999999847</v>
      </c>
      <c r="B100" s="15"/>
      <c r="C100" s="14"/>
      <c r="D100" s="14"/>
      <c r="H100" s="14"/>
    </row>
    <row r="101" spans="1:8">
      <c r="A101" s="14">
        <v>8.999999999999984</v>
      </c>
      <c r="B101" s="15"/>
      <c r="C101" s="14"/>
      <c r="D101" s="14"/>
      <c r="H101" s="14"/>
    </row>
    <row r="102" spans="1:8">
      <c r="A102" s="14">
        <v>9.1999999999999833</v>
      </c>
      <c r="B102" s="15"/>
      <c r="C102" s="14"/>
      <c r="D102" s="14"/>
      <c r="H102" s="14"/>
    </row>
    <row r="103" spans="1:8">
      <c r="A103" s="14">
        <v>9.3999999999999826</v>
      </c>
      <c r="B103" s="15"/>
      <c r="C103" s="14"/>
      <c r="D103" s="14"/>
      <c r="H103" s="14"/>
    </row>
    <row r="104" spans="1:8">
      <c r="A104" s="14">
        <v>9.5999999999999819</v>
      </c>
      <c r="B104" s="15"/>
      <c r="C104" s="14"/>
      <c r="D104" s="14"/>
      <c r="H104" s="14"/>
    </row>
    <row r="105" spans="1:8">
      <c r="A105" s="14">
        <v>9.7999999999999812</v>
      </c>
      <c r="B105" s="15"/>
      <c r="C105" s="14"/>
      <c r="D105" s="14"/>
      <c r="H105" s="14"/>
    </row>
    <row r="106" spans="1:8">
      <c r="A106" s="14">
        <v>9.9999999999999805</v>
      </c>
      <c r="B106" s="15"/>
      <c r="C106" s="14"/>
      <c r="D106" s="14"/>
      <c r="H106" s="14"/>
    </row>
    <row r="107" spans="1:8">
      <c r="A107" s="14">
        <v>10.49999999999998</v>
      </c>
      <c r="B107" s="15"/>
      <c r="C107" s="14"/>
      <c r="D107" s="14"/>
      <c r="H107" s="14"/>
    </row>
    <row r="108" spans="1:8">
      <c r="A108" s="14">
        <v>10.99999999999998</v>
      </c>
      <c r="B108" s="15"/>
      <c r="C108" s="14"/>
      <c r="D108" s="14"/>
      <c r="H108" s="14"/>
    </row>
    <row r="109" spans="1:8">
      <c r="A109" s="14">
        <v>11.49999999999998</v>
      </c>
      <c r="B109" s="15"/>
      <c r="C109" s="14"/>
      <c r="D109" s="14"/>
      <c r="H109" s="14"/>
    </row>
    <row r="110" spans="1:8">
      <c r="A110" s="14">
        <v>11.99999999999998</v>
      </c>
      <c r="B110" s="15"/>
      <c r="C110" s="14"/>
      <c r="D110" s="14"/>
      <c r="H110" s="14"/>
    </row>
    <row r="111" spans="1:8">
      <c r="A111" s="14">
        <v>12.49999999999998</v>
      </c>
      <c r="B111" s="15"/>
      <c r="C111" s="14"/>
      <c r="D111" s="14"/>
      <c r="H111" s="14"/>
    </row>
    <row r="112" spans="1:8">
      <c r="A112" s="14">
        <v>12.99999999999998</v>
      </c>
      <c r="B112" s="15"/>
      <c r="C112" s="14"/>
      <c r="D112" s="14"/>
      <c r="H112" s="14"/>
    </row>
    <row r="113" spans="1:8">
      <c r="A113" s="14">
        <v>13.49999999999998</v>
      </c>
      <c r="B113" s="15"/>
      <c r="C113" s="14"/>
      <c r="D113" s="14"/>
      <c r="H113" s="14"/>
    </row>
    <row r="114" spans="1:8">
      <c r="A114" s="14">
        <v>13.99999999999998</v>
      </c>
      <c r="B114" s="15"/>
      <c r="C114" s="14"/>
      <c r="D114" s="14"/>
      <c r="H114" s="14"/>
    </row>
    <row r="115" spans="1:8">
      <c r="A115" s="14">
        <v>14.49999999999998</v>
      </c>
      <c r="B115" s="15"/>
      <c r="C115" s="14"/>
      <c r="D115" s="14"/>
      <c r="H115" s="14"/>
    </row>
    <row r="116" spans="1:8">
      <c r="A116" s="14">
        <v>14.99999999999998</v>
      </c>
      <c r="B116" s="15"/>
      <c r="C116" s="14"/>
      <c r="D116" s="14"/>
      <c r="H116" s="14"/>
    </row>
    <row r="117" spans="1:8">
      <c r="A117" s="14">
        <v>15.49999999999998</v>
      </c>
      <c r="B117" s="15"/>
      <c r="C117" s="14"/>
      <c r="D117" s="14"/>
      <c r="H117" s="14"/>
    </row>
    <row r="118" spans="1:8">
      <c r="A118" s="14">
        <v>15.99999999999998</v>
      </c>
      <c r="B118" s="15"/>
      <c r="C118" s="14"/>
      <c r="D118" s="14"/>
      <c r="H118" s="14"/>
    </row>
    <row r="119" spans="1:8">
      <c r="A119" s="14">
        <v>16.499999999999979</v>
      </c>
      <c r="B119" s="15"/>
      <c r="C119" s="14"/>
      <c r="D119" s="14"/>
      <c r="H119" s="14"/>
    </row>
    <row r="120" spans="1:8">
      <c r="A120" s="14">
        <v>16.999999999999979</v>
      </c>
      <c r="B120" s="15"/>
      <c r="C120" s="14"/>
      <c r="D120" s="14"/>
      <c r="H120" s="14"/>
    </row>
    <row r="121" spans="1:8">
      <c r="A121" s="14">
        <v>17.499999999999979</v>
      </c>
      <c r="B121" s="15"/>
      <c r="C121" s="14"/>
      <c r="D121" s="14"/>
      <c r="H121" s="14"/>
    </row>
    <row r="122" spans="1:8">
      <c r="A122" s="14">
        <v>17.999999999999979</v>
      </c>
      <c r="B122" s="15"/>
      <c r="C122" s="14"/>
      <c r="D122" s="14"/>
      <c r="H122" s="14"/>
    </row>
    <row r="123" spans="1:8">
      <c r="A123" s="14">
        <v>18.499999999999979</v>
      </c>
      <c r="B123" s="15"/>
      <c r="C123" s="14"/>
      <c r="D123" s="14"/>
      <c r="H123" s="14"/>
    </row>
    <row r="124" spans="1:8">
      <c r="A124" s="14">
        <v>18.999999999999979</v>
      </c>
      <c r="B124" s="15"/>
      <c r="C124" s="14"/>
      <c r="D124" s="14"/>
      <c r="H124" s="14"/>
    </row>
    <row r="125" spans="1:8">
      <c r="A125" s="14">
        <v>19.499999999999979</v>
      </c>
      <c r="B125" s="15"/>
      <c r="C125" s="14"/>
      <c r="D125" s="14"/>
      <c r="H125" s="14"/>
    </row>
    <row r="126" spans="1:8">
      <c r="A126" s="14">
        <v>19.999999999999979</v>
      </c>
      <c r="B126" s="15"/>
      <c r="C126" s="14"/>
      <c r="D126" s="14"/>
      <c r="H126" s="1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D5CC-717F-4C27-8B73-93195D2A4663}">
  <dimension ref="A1:Y111"/>
  <sheetViews>
    <sheetView topLeftCell="G1" workbookViewId="0">
      <selection activeCell="O26" sqref="O26"/>
    </sheetView>
  </sheetViews>
  <sheetFormatPr defaultRowHeight="14.5"/>
  <cols>
    <col min="4" max="4" width="16.54296875" customWidth="1"/>
    <col min="5" max="5" width="12.81640625" customWidth="1"/>
    <col min="6" max="6" width="14.81640625" customWidth="1"/>
    <col min="7" max="7" width="13.54296875" customWidth="1"/>
    <col min="8" max="8" width="12.81640625" customWidth="1"/>
    <col min="24" max="24" width="10.81640625" customWidth="1"/>
    <col min="25" max="25" width="16.1796875" customWidth="1"/>
  </cols>
  <sheetData>
    <row r="1" spans="1:25">
      <c r="A1" t="s">
        <v>4</v>
      </c>
      <c r="B1" t="s">
        <v>28</v>
      </c>
      <c r="C1" t="s">
        <v>5</v>
      </c>
      <c r="D1" t="s">
        <v>27</v>
      </c>
      <c r="E1" t="s">
        <v>29</v>
      </c>
      <c r="F1" t="s">
        <v>30</v>
      </c>
      <c r="G1" t="s">
        <v>26</v>
      </c>
      <c r="H1" t="s">
        <v>5</v>
      </c>
      <c r="I1" t="s">
        <v>31</v>
      </c>
      <c r="S1" t="s">
        <v>5</v>
      </c>
      <c r="T1" t="s">
        <v>29</v>
      </c>
      <c r="V1" t="s">
        <v>5</v>
      </c>
      <c r="W1" t="s">
        <v>28</v>
      </c>
      <c r="X1" t="s">
        <v>29</v>
      </c>
      <c r="Y1" t="s">
        <v>27</v>
      </c>
    </row>
    <row r="2" spans="1:25">
      <c r="A2">
        <v>0.1</v>
      </c>
      <c r="B2">
        <v>0.83499999999999996</v>
      </c>
      <c r="C2">
        <f>A2/(2*SQRT(2))</f>
        <v>3.5355339059327376E-2</v>
      </c>
      <c r="D2">
        <f>2*E$58-E2</f>
        <v>4.648651566540055</v>
      </c>
      <c r="E2">
        <f>ACOS(1-(2*(B2/MAX(B$2:B$111))))</f>
        <v>1.6345337406395308</v>
      </c>
      <c r="F2">
        <v>210.01</v>
      </c>
      <c r="G2">
        <v>1.6692800000000001</v>
      </c>
      <c r="H2">
        <v>3.5355339E-2</v>
      </c>
      <c r="I2">
        <v>1.669276776</v>
      </c>
      <c r="S2">
        <v>3.5355339059327376E-2</v>
      </c>
      <c r="T2">
        <v>1.6345337406395308</v>
      </c>
      <c r="V2">
        <v>3.5355339059327376E-2</v>
      </c>
      <c r="W2">
        <v>0.83499999999999996</v>
      </c>
      <c r="X2">
        <v>1.6345337406395308</v>
      </c>
      <c r="Y2" cm="1">
        <f t="array" ref="Y2">INDEX($D$2:$D$111, 110-ROW(A1)+1)</f>
        <v>5.4432566157315438</v>
      </c>
    </row>
    <row r="3" spans="1:25">
      <c r="A3">
        <v>0.2</v>
      </c>
      <c r="B3">
        <v>0.83599999999999997</v>
      </c>
      <c r="C3">
        <f t="shared" ref="C3:C66" si="0">A3/(2*SQRT(2))</f>
        <v>7.0710678118654752E-2</v>
      </c>
      <c r="D3">
        <f t="shared" ref="D3:D66" si="1">2*E$58-E3</f>
        <v>4.6473750369016766</v>
      </c>
      <c r="E3">
        <f t="shared" ref="E3:E66" si="2">ACOS(1-(2*(B3/MAX(B$2:B$111))))</f>
        <v>1.6358102702779092</v>
      </c>
      <c r="G3">
        <v>1.6740999999999999</v>
      </c>
      <c r="H3">
        <v>7.0710677999999999E-2</v>
      </c>
      <c r="I3">
        <v>1.6740974580000001</v>
      </c>
      <c r="S3">
        <v>7.0710678118654752E-2</v>
      </c>
      <c r="T3">
        <v>1.6358102702779092</v>
      </c>
      <c r="V3">
        <v>7.0710678118654752E-2</v>
      </c>
      <c r="W3">
        <v>0.83599999999999997</v>
      </c>
      <c r="X3">
        <v>1.6358102702779092</v>
      </c>
      <c r="Y3" cm="1">
        <f t="array" ref="Y3">INDEX($D$2:$D$111, 110-ROW(A2)+1)</f>
        <v>5.4347348534324915</v>
      </c>
    </row>
    <row r="4" spans="1:25">
      <c r="A4">
        <v>0.3</v>
      </c>
      <c r="B4">
        <v>0.83599999999999997</v>
      </c>
      <c r="C4">
        <f t="shared" si="0"/>
        <v>0.10606601717798211</v>
      </c>
      <c r="D4">
        <f t="shared" si="1"/>
        <v>4.6473750369016766</v>
      </c>
      <c r="E4">
        <f t="shared" si="2"/>
        <v>1.6358102702779092</v>
      </c>
      <c r="G4">
        <v>1.6757</v>
      </c>
      <c r="H4">
        <v>0.106066017</v>
      </c>
      <c r="I4">
        <v>1.675704882</v>
      </c>
      <c r="S4">
        <v>0.10606601717798211</v>
      </c>
      <c r="T4">
        <v>1.6358102702779092</v>
      </c>
      <c r="V4">
        <v>0.10606601717798211</v>
      </c>
      <c r="W4">
        <v>0.83599999999999997</v>
      </c>
      <c r="X4">
        <v>1.6358102702779092</v>
      </c>
      <c r="Y4" cm="1">
        <f t="array" ref="Y4">INDEX($D$2:$D$111, 110-ROW(A3)+1)</f>
        <v>5.4296524160012334</v>
      </c>
    </row>
    <row r="5" spans="1:25">
      <c r="A5">
        <v>0.4</v>
      </c>
      <c r="B5">
        <v>0.83699999999999997</v>
      </c>
      <c r="C5">
        <f t="shared" si="0"/>
        <v>0.1414213562373095</v>
      </c>
      <c r="D5">
        <f t="shared" si="1"/>
        <v>4.6460984011628543</v>
      </c>
      <c r="E5">
        <f t="shared" si="2"/>
        <v>1.6370869060167323</v>
      </c>
      <c r="G5">
        <v>1.6773100000000001</v>
      </c>
      <c r="H5">
        <v>0.141421356</v>
      </c>
      <c r="I5">
        <v>1.677312578</v>
      </c>
      <c r="S5">
        <v>0.1414213562373095</v>
      </c>
      <c r="T5">
        <v>1.6370869060167323</v>
      </c>
      <c r="V5">
        <v>0.1414213562373095</v>
      </c>
      <c r="W5">
        <v>0.83699999999999997</v>
      </c>
      <c r="X5">
        <v>1.6370869060167323</v>
      </c>
      <c r="Y5" cm="1">
        <f t="array" ref="Y5">INDEX($D$2:$D$111, 110-ROW(A4)+1)</f>
        <v>5.4128706153731061</v>
      </c>
    </row>
    <row r="6" spans="1:25">
      <c r="A6">
        <v>0.5</v>
      </c>
      <c r="B6">
        <v>0.83699999999999997</v>
      </c>
      <c r="C6">
        <f t="shared" si="0"/>
        <v>0.17677669529663687</v>
      </c>
      <c r="D6">
        <f t="shared" si="1"/>
        <v>4.6460984011628543</v>
      </c>
      <c r="E6">
        <f t="shared" si="2"/>
        <v>1.6370869060167323</v>
      </c>
      <c r="G6">
        <v>1.67892</v>
      </c>
      <c r="H6">
        <v>0.17677669500000001</v>
      </c>
      <c r="I6">
        <v>1.67892055</v>
      </c>
      <c r="S6">
        <v>0.17677669529663687</v>
      </c>
      <c r="T6">
        <v>1.6370869060167323</v>
      </c>
      <c r="V6">
        <v>0.17677669529663687</v>
      </c>
      <c r="W6">
        <v>0.83699999999999997</v>
      </c>
      <c r="X6">
        <v>1.6370869060167323</v>
      </c>
      <c r="Y6" cm="1">
        <f t="array" ref="Y6">INDEX($D$2:$D$111, 110-ROW(A5)+1)</f>
        <v>5.404568429432369</v>
      </c>
    </row>
    <row r="7" spans="1:25">
      <c r="A7">
        <v>0.6</v>
      </c>
      <c r="B7">
        <v>0.83799999999999997</v>
      </c>
      <c r="C7">
        <f t="shared" si="0"/>
        <v>0.21213203435596423</v>
      </c>
      <c r="D7">
        <f t="shared" si="1"/>
        <v>4.6448216572159415</v>
      </c>
      <c r="E7">
        <f t="shared" si="2"/>
        <v>1.6383636499636449</v>
      </c>
      <c r="G7">
        <v>1.6773100000000001</v>
      </c>
      <c r="H7">
        <v>0.212132034</v>
      </c>
      <c r="I7">
        <v>1.677312578</v>
      </c>
      <c r="S7">
        <v>0.21213203435596423</v>
      </c>
      <c r="T7">
        <v>1.6383636499636449</v>
      </c>
      <c r="V7">
        <v>0.21213203435596423</v>
      </c>
      <c r="W7">
        <v>0.83799999999999997</v>
      </c>
      <c r="X7">
        <v>1.6383636499636449</v>
      </c>
      <c r="Y7" cm="1">
        <f t="array" ref="Y7">INDEX($D$2:$D$111, 110-ROW(A6)+1)</f>
        <v>5.3897663683731425</v>
      </c>
    </row>
    <row r="8" spans="1:25">
      <c r="A8">
        <v>0.7</v>
      </c>
      <c r="B8">
        <v>0.83699999999999997</v>
      </c>
      <c r="C8">
        <f t="shared" si="0"/>
        <v>0.24748737341529159</v>
      </c>
      <c r="D8">
        <f t="shared" si="1"/>
        <v>4.6460984011628543</v>
      </c>
      <c r="E8">
        <f t="shared" si="2"/>
        <v>1.6370869060167323</v>
      </c>
      <c r="G8">
        <v>1.6773100000000001</v>
      </c>
      <c r="H8">
        <v>0.24748737300000001</v>
      </c>
      <c r="I8">
        <v>1.677312578</v>
      </c>
      <c r="S8">
        <v>0.24748737341529159</v>
      </c>
      <c r="T8">
        <v>1.6370869060167323</v>
      </c>
      <c r="V8">
        <v>0.24748737341529159</v>
      </c>
      <c r="W8">
        <v>0.83699999999999997</v>
      </c>
      <c r="X8">
        <v>1.6370869060167323</v>
      </c>
      <c r="Y8" cm="1">
        <f t="array" ref="Y8">INDEX($D$2:$D$111, 110-ROW(A7)+1)</f>
        <v>5.3735235253032085</v>
      </c>
    </row>
    <row r="9" spans="1:25">
      <c r="A9">
        <v>0.8</v>
      </c>
      <c r="B9">
        <v>0.83799999999999997</v>
      </c>
      <c r="C9">
        <f t="shared" si="0"/>
        <v>0.28284271247461901</v>
      </c>
      <c r="D9">
        <f t="shared" si="1"/>
        <v>4.6448216572159415</v>
      </c>
      <c r="E9">
        <f t="shared" si="2"/>
        <v>1.6383636499636449</v>
      </c>
      <c r="G9">
        <v>1.6757</v>
      </c>
      <c r="H9">
        <v>0.282842712</v>
      </c>
      <c r="I9">
        <v>1.675704882</v>
      </c>
      <c r="S9">
        <v>0.28284271247461901</v>
      </c>
      <c r="T9">
        <v>1.6383636499636449</v>
      </c>
      <c r="V9">
        <v>0.28284271247461901</v>
      </c>
      <c r="W9">
        <v>0.83799999999999997</v>
      </c>
      <c r="X9">
        <v>1.6383636499636449</v>
      </c>
      <c r="Y9" cm="1">
        <f t="array" ref="Y9">INDEX($D$2:$D$111, 110-ROW(A8)+1)</f>
        <v>5.3702996600736146</v>
      </c>
    </row>
    <row r="10" spans="1:25">
      <c r="A10">
        <v>0.9</v>
      </c>
      <c r="B10">
        <v>0.83899999999999997</v>
      </c>
      <c r="C10">
        <f t="shared" si="0"/>
        <v>0.31819805153394637</v>
      </c>
      <c r="D10">
        <f t="shared" si="1"/>
        <v>4.6435448029516948</v>
      </c>
      <c r="E10">
        <f t="shared" si="2"/>
        <v>1.639640504227891</v>
      </c>
      <c r="G10">
        <v>1.6773100000000001</v>
      </c>
      <c r="H10">
        <v>0.31819805200000001</v>
      </c>
      <c r="I10">
        <v>1.677312578</v>
      </c>
      <c r="S10">
        <v>0.31819805153394637</v>
      </c>
      <c r="T10">
        <v>1.639640504227891</v>
      </c>
      <c r="V10">
        <v>0.31819805153394637</v>
      </c>
      <c r="W10">
        <v>0.83899999999999997</v>
      </c>
      <c r="X10">
        <v>1.639640504227891</v>
      </c>
      <c r="Y10" cm="1">
        <f t="array" ref="Y10">INDEX($D$2:$D$111, 110-ROW(A9)+1)</f>
        <v>5.3495357611702179</v>
      </c>
    </row>
    <row r="11" spans="1:25">
      <c r="A11">
        <v>1</v>
      </c>
      <c r="B11">
        <v>0.83899999999999997</v>
      </c>
      <c r="C11">
        <f t="shared" si="0"/>
        <v>0.35355339059327373</v>
      </c>
      <c r="D11">
        <f t="shared" si="1"/>
        <v>4.6435448029516948</v>
      </c>
      <c r="E11">
        <f t="shared" si="2"/>
        <v>1.639640504227891</v>
      </c>
      <c r="G11">
        <v>1.6740999999999999</v>
      </c>
      <c r="H11">
        <v>0.35355339099999999</v>
      </c>
      <c r="I11">
        <v>1.6740974580000001</v>
      </c>
      <c r="S11">
        <v>0.35355339059327373</v>
      </c>
      <c r="T11">
        <v>1.639640504227891</v>
      </c>
      <c r="V11">
        <v>0.35355339059327373</v>
      </c>
      <c r="W11">
        <v>0.83899999999999997</v>
      </c>
      <c r="X11">
        <v>1.639640504227891</v>
      </c>
      <c r="Y11" cm="1">
        <f t="array" ref="Y11">INDEX($D$2:$D$111, 110-ROW(A10)+1)</f>
        <v>5.3322127479647321</v>
      </c>
    </row>
    <row r="12" spans="1:25">
      <c r="A12">
        <v>1.1000000000000001</v>
      </c>
      <c r="B12">
        <v>0.86</v>
      </c>
      <c r="C12">
        <f t="shared" si="0"/>
        <v>0.38890872965260115</v>
      </c>
      <c r="D12">
        <f t="shared" si="1"/>
        <v>4.6167016259285987</v>
      </c>
      <c r="E12">
        <f t="shared" si="2"/>
        <v>1.6664836812509878</v>
      </c>
      <c r="G12">
        <v>1.6773100000000001</v>
      </c>
      <c r="H12">
        <v>0.38890872999999998</v>
      </c>
      <c r="I12">
        <v>1.677312578</v>
      </c>
      <c r="S12">
        <v>0.38890872965260115</v>
      </c>
      <c r="T12">
        <v>1.6664836812509878</v>
      </c>
      <c r="V12">
        <v>0.38890872965260115</v>
      </c>
      <c r="W12">
        <v>0.86</v>
      </c>
      <c r="X12">
        <v>1.6664836812509878</v>
      </c>
      <c r="Y12" cm="1">
        <f t="array" ref="Y12">INDEX($D$2:$D$111, 110-ROW(A11)+1)</f>
        <v>5.3151013160341689</v>
      </c>
    </row>
    <row r="13" spans="1:25">
      <c r="A13">
        <v>1.2</v>
      </c>
      <c r="B13">
        <v>0.84099999999999997</v>
      </c>
      <c r="C13">
        <f t="shared" si="0"/>
        <v>0.42426406871192845</v>
      </c>
      <c r="D13">
        <f t="shared" si="1"/>
        <v>4.6409907550260421</v>
      </c>
      <c r="E13">
        <f t="shared" si="2"/>
        <v>1.6421945521535446</v>
      </c>
      <c r="G13">
        <v>1.6773100000000001</v>
      </c>
      <c r="H13">
        <v>0.42426406900000002</v>
      </c>
      <c r="I13">
        <v>1.677312578</v>
      </c>
      <c r="S13">
        <v>0.42426406871192845</v>
      </c>
      <c r="T13">
        <v>1.6421945521535446</v>
      </c>
      <c r="V13">
        <v>0.42426406871192845</v>
      </c>
      <c r="W13">
        <v>0.84099999999999997</v>
      </c>
      <c r="X13">
        <v>1.6421945521535446</v>
      </c>
      <c r="Y13" cm="1">
        <f t="array" ref="Y13">INDEX($D$2:$D$111, 110-ROW(A12)+1)</f>
        <v>5.2997186158739611</v>
      </c>
    </row>
    <row r="14" spans="1:25">
      <c r="A14">
        <v>1.3</v>
      </c>
      <c r="B14">
        <v>0.84199999999999997</v>
      </c>
      <c r="C14">
        <f t="shared" si="0"/>
        <v>0.45961940777125587</v>
      </c>
      <c r="D14">
        <f t="shared" si="1"/>
        <v>4.6397135571378643</v>
      </c>
      <c r="E14">
        <f t="shared" si="2"/>
        <v>1.6434717500417222</v>
      </c>
      <c r="G14">
        <v>1.67892</v>
      </c>
      <c r="H14">
        <v>0.45961940800000001</v>
      </c>
      <c r="I14">
        <v>1.67892055</v>
      </c>
      <c r="S14">
        <v>0.45961940777125587</v>
      </c>
      <c r="T14">
        <v>1.6434717500417222</v>
      </c>
      <c r="V14">
        <v>0.45961940777125587</v>
      </c>
      <c r="W14">
        <v>0.84199999999999997</v>
      </c>
      <c r="X14">
        <v>1.6434717500417222</v>
      </c>
      <c r="Y14" cm="1">
        <f t="array" ref="Y14">INDEX($D$2:$D$111, 110-ROW(A13)+1)</f>
        <v>5.2724172993344443</v>
      </c>
    </row>
    <row r="15" spans="1:25">
      <c r="A15">
        <v>1.4</v>
      </c>
      <c r="B15">
        <v>0.84299999999999997</v>
      </c>
      <c r="C15">
        <f t="shared" si="0"/>
        <v>0.49497474683058318</v>
      </c>
      <c r="D15">
        <f t="shared" si="1"/>
        <v>4.6384362404787485</v>
      </c>
      <c r="E15">
        <f t="shared" si="2"/>
        <v>1.6447490667008378</v>
      </c>
      <c r="G15">
        <v>1.6773100000000001</v>
      </c>
      <c r="H15">
        <v>0.49497474699999999</v>
      </c>
      <c r="I15">
        <v>1.677312578</v>
      </c>
      <c r="S15">
        <v>0.49497474683058318</v>
      </c>
      <c r="T15">
        <v>1.6447490667008378</v>
      </c>
      <c r="V15">
        <v>0.49497474683058318</v>
      </c>
      <c r="W15">
        <v>0.84299999999999997</v>
      </c>
      <c r="X15">
        <v>1.6447490667008378</v>
      </c>
      <c r="Y15" cm="1">
        <f t="array" ref="Y15">INDEX($D$2:$D$111, 110-ROW(A14)+1)</f>
        <v>5.2381955990933982</v>
      </c>
    </row>
    <row r="16" spans="1:25">
      <c r="A16">
        <v>1.5</v>
      </c>
      <c r="B16">
        <v>0.84399999999999997</v>
      </c>
      <c r="C16">
        <f t="shared" si="0"/>
        <v>0.5303300858899106</v>
      </c>
      <c r="D16">
        <f t="shared" si="1"/>
        <v>4.6371588029309763</v>
      </c>
      <c r="E16">
        <f t="shared" si="2"/>
        <v>1.6460265042486097</v>
      </c>
      <c r="F16">
        <v>7.0999999999999994E-2</v>
      </c>
      <c r="G16">
        <v>1.67892</v>
      </c>
      <c r="H16">
        <v>0.53033008599999998</v>
      </c>
      <c r="I16">
        <v>1.67892055</v>
      </c>
      <c r="S16">
        <v>0.5303300858899106</v>
      </c>
      <c r="T16">
        <v>1.6460265042486097</v>
      </c>
      <c r="V16">
        <v>0.5303300858899106</v>
      </c>
      <c r="W16">
        <v>0.84399999999999997</v>
      </c>
      <c r="X16">
        <v>1.6460265042486097</v>
      </c>
      <c r="Y16" cm="1">
        <f t="array" ref="Y16">INDEX($D$2:$D$111, 110-ROW(A15)+1)</f>
        <v>5.2089823021709281</v>
      </c>
    </row>
    <row r="17" spans="1:25">
      <c r="A17">
        <v>1.6</v>
      </c>
      <c r="B17">
        <v>0.84499999999999997</v>
      </c>
      <c r="C17">
        <f t="shared" si="0"/>
        <v>0.56568542494923801</v>
      </c>
      <c r="D17">
        <f t="shared" si="1"/>
        <v>4.6358812423750368</v>
      </c>
      <c r="E17">
        <f t="shared" si="2"/>
        <v>1.6473040648045492</v>
      </c>
      <c r="G17">
        <v>1.6773100000000001</v>
      </c>
      <c r="H17">
        <v>0.56568542499999996</v>
      </c>
      <c r="I17">
        <v>1.677312578</v>
      </c>
      <c r="S17">
        <v>0.56568542494923801</v>
      </c>
      <c r="T17">
        <v>1.6473040648045492</v>
      </c>
      <c r="V17">
        <v>0.56568542494923801</v>
      </c>
      <c r="W17">
        <v>0.84499999999999997</v>
      </c>
      <c r="X17">
        <v>1.6473040648045492</v>
      </c>
      <c r="Y17" cm="1">
        <f t="array" ref="Y17">INDEX($D$2:$D$111, 110-ROW(A16)+1)</f>
        <v>5.1731009842917581</v>
      </c>
    </row>
    <row r="18" spans="1:25">
      <c r="A18">
        <v>1.7</v>
      </c>
      <c r="B18">
        <v>0.84599999999999997</v>
      </c>
      <c r="C18">
        <f t="shared" si="0"/>
        <v>0.60104076400856532</v>
      </c>
      <c r="D18">
        <f t="shared" si="1"/>
        <v>4.634603556689596</v>
      </c>
      <c r="E18">
        <f t="shared" si="2"/>
        <v>1.6485817504899898</v>
      </c>
      <c r="G18">
        <v>1.6773100000000001</v>
      </c>
      <c r="H18">
        <v>0.60104076399999995</v>
      </c>
      <c r="I18">
        <v>1.677312578</v>
      </c>
      <c r="S18">
        <v>0.60104076400856532</v>
      </c>
      <c r="T18">
        <v>1.6485817504899898</v>
      </c>
      <c r="V18">
        <v>0.60104076400856532</v>
      </c>
      <c r="W18">
        <v>0.84599999999999997</v>
      </c>
      <c r="X18">
        <v>1.6485817504899898</v>
      </c>
      <c r="Y18" cm="1">
        <f t="array" ref="Y18">INDEX($D$2:$D$111, 110-ROW(A17)+1)</f>
        <v>5.1294723082910219</v>
      </c>
    </row>
    <row r="19" spans="1:25">
      <c r="A19">
        <v>1.8</v>
      </c>
      <c r="B19">
        <v>0.84799999999999998</v>
      </c>
      <c r="C19">
        <f t="shared" si="0"/>
        <v>0.63639610306789274</v>
      </c>
      <c r="D19">
        <f t="shared" si="1"/>
        <v>4.6320478014355597</v>
      </c>
      <c r="E19">
        <f t="shared" si="2"/>
        <v>1.6511375057440261</v>
      </c>
      <c r="G19">
        <v>1.67892</v>
      </c>
      <c r="H19">
        <v>0.63639610300000005</v>
      </c>
      <c r="I19">
        <v>1.67892055</v>
      </c>
      <c r="S19">
        <v>0.63639610306789274</v>
      </c>
      <c r="T19">
        <v>1.6511375057440261</v>
      </c>
      <c r="V19">
        <v>0.63639610306789274</v>
      </c>
      <c r="W19">
        <v>0.84799999999999998</v>
      </c>
      <c r="X19">
        <v>1.6511375057440261</v>
      </c>
      <c r="Y19" cm="1">
        <f t="array" ref="Y19">INDEX($D$2:$D$111, 110-ROW(A18)+1)</f>
        <v>5.0784730968217122</v>
      </c>
    </row>
    <row r="20" spans="1:25">
      <c r="A20">
        <v>1.9</v>
      </c>
      <c r="B20">
        <v>0.85099999999999998</v>
      </c>
      <c r="C20">
        <f t="shared" si="0"/>
        <v>0.67175144212722004</v>
      </c>
      <c r="D20">
        <f t="shared" si="1"/>
        <v>4.6282131769414114</v>
      </c>
      <c r="E20">
        <f t="shared" si="2"/>
        <v>1.6549721302381748</v>
      </c>
      <c r="G20">
        <v>1.67892</v>
      </c>
      <c r="H20">
        <v>0.67175144200000003</v>
      </c>
      <c r="I20">
        <v>1.67892055</v>
      </c>
      <c r="S20">
        <v>0.67175144212722004</v>
      </c>
      <c r="T20">
        <v>1.6549721302381748</v>
      </c>
      <c r="V20">
        <v>0.67175144212722004</v>
      </c>
      <c r="W20">
        <v>0.85099999999999998</v>
      </c>
      <c r="X20">
        <v>1.6549721302381748</v>
      </c>
      <c r="Y20" cm="1">
        <f t="array" ref="Y20">INDEX($D$2:$D$111, 110-ROW(A19)+1)</f>
        <v>5.0311347948332834</v>
      </c>
    </row>
    <row r="21" spans="1:25">
      <c r="A21">
        <v>2</v>
      </c>
      <c r="B21">
        <v>0.85399999999999998</v>
      </c>
      <c r="C21">
        <f t="shared" si="0"/>
        <v>0.70710678118654746</v>
      </c>
      <c r="D21">
        <f t="shared" si="1"/>
        <v>4.6243773113562892</v>
      </c>
      <c r="E21">
        <f t="shared" si="2"/>
        <v>1.6588079958232973</v>
      </c>
      <c r="G21">
        <v>1.67892</v>
      </c>
      <c r="H21">
        <v>0.70710678100000002</v>
      </c>
      <c r="I21">
        <v>1.67892055</v>
      </c>
      <c r="S21">
        <v>0.70710678118654746</v>
      </c>
      <c r="T21">
        <v>1.6588079958232973</v>
      </c>
      <c r="V21">
        <v>0.70710678118654746</v>
      </c>
      <c r="W21">
        <v>0.85399999999999998</v>
      </c>
      <c r="X21">
        <v>1.6588079958232973</v>
      </c>
      <c r="Y21" cm="1">
        <f t="array" ref="Y21">INDEX($D$2:$D$111, 110-ROW(A20)+1)</f>
        <v>4.9542299701380568</v>
      </c>
    </row>
    <row r="22" spans="1:25">
      <c r="A22">
        <v>2.1</v>
      </c>
      <c r="B22">
        <v>0.85599999999999998</v>
      </c>
      <c r="C22">
        <f t="shared" si="0"/>
        <v>0.74246212024587488</v>
      </c>
      <c r="D22">
        <f t="shared" si="1"/>
        <v>4.6218193496498818</v>
      </c>
      <c r="E22">
        <f t="shared" si="2"/>
        <v>1.6613659575297044</v>
      </c>
      <c r="G22">
        <v>1.67892</v>
      </c>
      <c r="H22">
        <v>0.74246212</v>
      </c>
      <c r="I22">
        <v>1.67892055</v>
      </c>
      <c r="S22">
        <v>0.74246212024587488</v>
      </c>
      <c r="T22">
        <v>1.6613659575297044</v>
      </c>
      <c r="V22">
        <v>0.74246212024587488</v>
      </c>
      <c r="W22">
        <v>0.85599999999999998</v>
      </c>
      <c r="X22">
        <v>1.6613659575297044</v>
      </c>
      <c r="Y22" cm="1">
        <f t="array" ref="Y22">INDEX($D$2:$D$111, 110-ROW(A21)+1)</f>
        <v>4.8401245961081463</v>
      </c>
    </row>
    <row r="23" spans="1:25">
      <c r="A23">
        <v>2.2000000000000002</v>
      </c>
      <c r="B23">
        <v>0.86099999999999999</v>
      </c>
      <c r="C23">
        <f t="shared" si="0"/>
        <v>0.7778174593052023</v>
      </c>
      <c r="D23">
        <f t="shared" si="1"/>
        <v>4.6154218074004261</v>
      </c>
      <c r="E23">
        <f t="shared" si="2"/>
        <v>1.6677634997791602</v>
      </c>
      <c r="G23">
        <v>1.6805300000000001</v>
      </c>
      <c r="H23">
        <v>0.77781745899999999</v>
      </c>
      <c r="I23">
        <v>1.6805288030000001</v>
      </c>
      <c r="S23">
        <v>0.7778174593052023</v>
      </c>
      <c r="T23">
        <v>1.6677634997791602</v>
      </c>
      <c r="V23">
        <v>0.7778174593052023</v>
      </c>
      <c r="W23">
        <v>0.86099999999999999</v>
      </c>
      <c r="X23">
        <v>1.6677634997791602</v>
      </c>
      <c r="Y23" cm="1">
        <f t="array" ref="Y23">INDEX($D$2:$D$111, 110-ROW(A22)+1)</f>
        <v>4.8042378137917456</v>
      </c>
    </row>
    <row r="24" spans="1:25">
      <c r="A24">
        <v>2.2999999999999998</v>
      </c>
      <c r="B24">
        <v>0.86599999999999999</v>
      </c>
      <c r="C24">
        <f t="shared" si="0"/>
        <v>0.81317279836452949</v>
      </c>
      <c r="D24">
        <f t="shared" si="1"/>
        <v>4.6090202813918477</v>
      </c>
      <c r="E24">
        <f t="shared" si="2"/>
        <v>1.6741650257877385</v>
      </c>
      <c r="G24">
        <v>1.6805300000000001</v>
      </c>
      <c r="H24">
        <v>0.81317279799999997</v>
      </c>
      <c r="I24">
        <v>1.6805288030000001</v>
      </c>
      <c r="S24">
        <v>0.81317279836452949</v>
      </c>
      <c r="T24">
        <v>1.6741650257877385</v>
      </c>
      <c r="V24">
        <v>0.81317279836452949</v>
      </c>
      <c r="W24">
        <v>0.86599999999999999</v>
      </c>
      <c r="X24">
        <v>1.6741650257877385</v>
      </c>
      <c r="Y24" cm="1">
        <f t="array" ref="Y24">INDEX($D$2:$D$111, 110-ROW(A23)+1)</f>
        <v>4.7544395885397739</v>
      </c>
    </row>
    <row r="25" spans="1:25">
      <c r="A25">
        <v>2.4</v>
      </c>
      <c r="B25">
        <v>0.872</v>
      </c>
      <c r="C25">
        <f t="shared" si="0"/>
        <v>0.84852813742385691</v>
      </c>
      <c r="D25">
        <f t="shared" si="1"/>
        <v>4.6013328109357889</v>
      </c>
      <c r="E25">
        <f t="shared" si="2"/>
        <v>1.6818524962437977</v>
      </c>
      <c r="G25">
        <v>1.68214</v>
      </c>
      <c r="H25">
        <v>0.84852813699999996</v>
      </c>
      <c r="I25">
        <v>1.682137341</v>
      </c>
      <c r="S25">
        <v>0.84852813742385691</v>
      </c>
      <c r="T25">
        <v>1.6818524962437977</v>
      </c>
      <c r="V25">
        <v>0.84852813742385691</v>
      </c>
      <c r="W25">
        <v>0.872</v>
      </c>
      <c r="X25">
        <v>1.6818524962437977</v>
      </c>
      <c r="Y25" cm="1">
        <f t="array" ref="Y25">INDEX($D$2:$D$111, 110-ROW(A24)+1)</f>
        <v>4.7136628660795488</v>
      </c>
    </row>
    <row r="26" spans="1:25">
      <c r="A26">
        <v>2.5</v>
      </c>
      <c r="B26">
        <v>0.88</v>
      </c>
      <c r="C26">
        <f t="shared" si="0"/>
        <v>0.88388347648318433</v>
      </c>
      <c r="D26">
        <f t="shared" si="1"/>
        <v>4.5910725080472963</v>
      </c>
      <c r="E26">
        <f t="shared" si="2"/>
        <v>1.69211279913229</v>
      </c>
      <c r="G26">
        <v>1.6837500000000001</v>
      </c>
      <c r="H26">
        <v>0.88388347599999995</v>
      </c>
      <c r="I26">
        <v>1.683746169</v>
      </c>
      <c r="S26">
        <v>0.88388347648318433</v>
      </c>
      <c r="T26">
        <v>1.69211279913229</v>
      </c>
      <c r="V26">
        <v>0.88388347648318433</v>
      </c>
      <c r="W26">
        <v>0.88</v>
      </c>
      <c r="X26">
        <v>1.69211279913229</v>
      </c>
      <c r="Y26" cm="1">
        <f t="array" ref="Y26">INDEX($D$2:$D$111, 110-ROW(A25)+1)</f>
        <v>4.6639624115045217</v>
      </c>
    </row>
    <row r="27" spans="1:25">
      <c r="A27">
        <v>2.6</v>
      </c>
      <c r="B27">
        <v>0.89</v>
      </c>
      <c r="C27">
        <f t="shared" si="0"/>
        <v>0.91923881554251174</v>
      </c>
      <c r="D27">
        <f t="shared" si="1"/>
        <v>4.5782289246035655</v>
      </c>
      <c r="E27">
        <f t="shared" si="2"/>
        <v>1.7049563825760206</v>
      </c>
      <c r="G27">
        <v>1.68696</v>
      </c>
      <c r="H27">
        <v>0.91923881600000001</v>
      </c>
      <c r="I27">
        <v>1.686964709</v>
      </c>
      <c r="S27">
        <v>0.91923881554251174</v>
      </c>
      <c r="T27">
        <v>1.7049563825760206</v>
      </c>
      <c r="V27">
        <v>0.91923881554251174</v>
      </c>
      <c r="W27">
        <v>0.89</v>
      </c>
      <c r="X27">
        <v>1.7049563825760206</v>
      </c>
      <c r="Y27" cm="1">
        <f t="array" ref="Y27">INDEX($D$2:$D$111, 110-ROW(A26)+1)</f>
        <v>4.6026145013312405</v>
      </c>
    </row>
    <row r="28" spans="1:25">
      <c r="A28">
        <v>2.7</v>
      </c>
      <c r="B28">
        <v>0.90300000000000002</v>
      </c>
      <c r="C28">
        <f t="shared" si="0"/>
        <v>0.95459415460183916</v>
      </c>
      <c r="D28">
        <f t="shared" si="1"/>
        <v>4.5614985839747835</v>
      </c>
      <c r="E28">
        <f t="shared" si="2"/>
        <v>1.7216867232048032</v>
      </c>
      <c r="G28">
        <v>1.6917899999999999</v>
      </c>
      <c r="H28">
        <v>0.954594155</v>
      </c>
      <c r="I28">
        <v>1.691794797</v>
      </c>
      <c r="S28">
        <v>0.95459415460183916</v>
      </c>
      <c r="T28">
        <v>1.7216867232048032</v>
      </c>
      <c r="V28">
        <v>0.95459415460183916</v>
      </c>
      <c r="W28">
        <v>0.90300000000000002</v>
      </c>
      <c r="X28">
        <v>1.7216867232048032</v>
      </c>
      <c r="Y28" cm="1">
        <f t="array" ref="Y28">INDEX($D$2:$D$111, 110-ROW(A27)+1)</f>
        <v>4.549891346447172</v>
      </c>
    </row>
    <row r="29" spans="1:25">
      <c r="A29">
        <v>2.8</v>
      </c>
      <c r="B29">
        <v>0.92</v>
      </c>
      <c r="C29">
        <f t="shared" si="0"/>
        <v>0.98994949366116636</v>
      </c>
      <c r="D29">
        <f t="shared" si="1"/>
        <v>4.5395552756499757</v>
      </c>
      <c r="E29">
        <f t="shared" si="2"/>
        <v>1.7436300315296105</v>
      </c>
      <c r="G29">
        <v>1.69502</v>
      </c>
      <c r="H29">
        <v>0.98994949399999999</v>
      </c>
      <c r="I29">
        <v>1.6950164249999999</v>
      </c>
      <c r="S29">
        <v>0.98994949366116636</v>
      </c>
      <c r="T29">
        <v>1.7436300315296105</v>
      </c>
      <c r="V29">
        <v>0.98994949366116636</v>
      </c>
      <c r="W29">
        <v>0.92</v>
      </c>
      <c r="X29">
        <v>1.7436300315296105</v>
      </c>
      <c r="Y29" cm="1">
        <f t="array" ref="Y29">INDEX($D$2:$D$111, 110-ROW(A28)+1)</f>
        <v>4.4993153989222332</v>
      </c>
    </row>
    <row r="30" spans="1:25">
      <c r="A30">
        <v>2.9</v>
      </c>
      <c r="B30">
        <v>0.94</v>
      </c>
      <c r="C30">
        <f t="shared" si="0"/>
        <v>1.0253048327204939</v>
      </c>
      <c r="D30">
        <f t="shared" si="1"/>
        <v>4.5136306803670099</v>
      </c>
      <c r="E30">
        <f t="shared" si="2"/>
        <v>1.7695546268125768</v>
      </c>
      <c r="G30">
        <v>1.6966300000000001</v>
      </c>
      <c r="H30">
        <v>1.0253048330000001</v>
      </c>
      <c r="I30">
        <v>1.6966277240000001</v>
      </c>
      <c r="S30">
        <v>1.0253048327204939</v>
      </c>
      <c r="T30">
        <v>1.7695546268125768</v>
      </c>
      <c r="V30">
        <v>1.0253048327204939</v>
      </c>
      <c r="W30">
        <v>0.94</v>
      </c>
      <c r="X30">
        <v>1.7695546268125768</v>
      </c>
      <c r="Y30" cm="1">
        <f t="array" ref="Y30">INDEX($D$2:$D$111, 110-ROW(A29)+1)</f>
        <v>4.4376065047347106</v>
      </c>
    </row>
    <row r="31" spans="1:25">
      <c r="A31">
        <v>3</v>
      </c>
      <c r="B31">
        <v>0.96399999999999997</v>
      </c>
      <c r="C31">
        <f t="shared" si="0"/>
        <v>1.0606601717798212</v>
      </c>
      <c r="D31">
        <f t="shared" si="1"/>
        <v>4.4823397289690243</v>
      </c>
      <c r="E31">
        <f t="shared" si="2"/>
        <v>1.8008455782105621</v>
      </c>
      <c r="G31">
        <v>1.6998500000000001</v>
      </c>
      <c r="H31">
        <v>1.060660172</v>
      </c>
      <c r="I31">
        <v>1.6998513099999999</v>
      </c>
      <c r="S31">
        <v>1.0606601717798212</v>
      </c>
      <c r="T31">
        <v>1.8008455782105621</v>
      </c>
      <c r="V31">
        <v>1.0606601717798212</v>
      </c>
      <c r="W31">
        <v>0.96399999999999997</v>
      </c>
      <c r="X31">
        <v>1.8008455782105621</v>
      </c>
      <c r="Y31" cm="1">
        <f t="array" ref="Y31">INDEX($D$2:$D$111, 110-ROW(A30)+1)</f>
        <v>4.3761528785389272</v>
      </c>
    </row>
    <row r="32" spans="1:25">
      <c r="A32">
        <v>3.1</v>
      </c>
      <c r="B32">
        <v>0.99199999999999999</v>
      </c>
      <c r="C32">
        <f t="shared" si="0"/>
        <v>1.0960155108391487</v>
      </c>
      <c r="D32">
        <f t="shared" si="1"/>
        <v>4.4455389519271638</v>
      </c>
      <c r="E32">
        <f t="shared" si="2"/>
        <v>1.8376463552524229</v>
      </c>
      <c r="G32">
        <v>1.7062999999999999</v>
      </c>
      <c r="H32">
        <v>1.0960155110000001</v>
      </c>
      <c r="I32">
        <v>1.706302566</v>
      </c>
      <c r="S32">
        <v>1.0960155108391487</v>
      </c>
      <c r="T32">
        <v>1.8376463552524229</v>
      </c>
      <c r="V32">
        <v>1.0960155108391487</v>
      </c>
      <c r="W32">
        <v>0.99199999999999999</v>
      </c>
      <c r="X32">
        <v>1.8376463552524229</v>
      </c>
      <c r="Y32" cm="1">
        <f t="array" ref="Y32">INDEX($D$2:$D$111, 110-ROW(A31)+1)</f>
        <v>4.3119648934659711</v>
      </c>
    </row>
    <row r="33" spans="1:25">
      <c r="A33">
        <v>3.2</v>
      </c>
      <c r="B33">
        <v>1.022</v>
      </c>
      <c r="C33">
        <f t="shared" si="0"/>
        <v>1.131370849898476</v>
      </c>
      <c r="D33">
        <f t="shared" si="1"/>
        <v>4.4056926016682034</v>
      </c>
      <c r="E33">
        <f t="shared" si="2"/>
        <v>1.8774927055113828</v>
      </c>
      <c r="G33">
        <v>1.7176100000000001</v>
      </c>
      <c r="H33">
        <v>1.1313708499999999</v>
      </c>
      <c r="I33">
        <v>1.7176061</v>
      </c>
      <c r="S33">
        <v>1.131370849898476</v>
      </c>
      <c r="T33">
        <v>1.8774927055113828</v>
      </c>
      <c r="V33">
        <v>1.131370849898476</v>
      </c>
      <c r="W33">
        <v>1.022</v>
      </c>
      <c r="X33">
        <v>1.8774927055113828</v>
      </c>
      <c r="Y33" cm="1">
        <f t="array" ref="Y33">INDEX($D$2:$D$111, 110-ROW(A32)+1)</f>
        <v>4.2743064805068727</v>
      </c>
    </row>
    <row r="34" spans="1:25">
      <c r="A34">
        <v>3.3</v>
      </c>
      <c r="B34">
        <v>1.0529999999999999</v>
      </c>
      <c r="C34">
        <f t="shared" si="0"/>
        <v>1.1667261889578033</v>
      </c>
      <c r="D34">
        <f t="shared" si="1"/>
        <v>4.3639816382210999</v>
      </c>
      <c r="E34">
        <f t="shared" si="2"/>
        <v>1.9192036689584859</v>
      </c>
      <c r="G34">
        <v>1.73217</v>
      </c>
      <c r="H34">
        <v>1.166726189</v>
      </c>
      <c r="I34">
        <v>1.7321672429999999</v>
      </c>
      <c r="S34">
        <v>1.1667261889578033</v>
      </c>
      <c r="T34">
        <v>1.9192036689584859</v>
      </c>
      <c r="V34">
        <v>1.1667261889578033</v>
      </c>
      <c r="W34">
        <v>1.0529999999999999</v>
      </c>
      <c r="X34">
        <v>1.9192036689584859</v>
      </c>
      <c r="Y34" cm="1">
        <f t="array" ref="Y34">INDEX($D$2:$D$111, 110-ROW(A33)+1)</f>
        <v>4.2374042805898569</v>
      </c>
    </row>
    <row r="35" spans="1:25">
      <c r="A35">
        <v>3.4</v>
      </c>
      <c r="B35">
        <v>1.0880000000000001</v>
      </c>
      <c r="C35">
        <f t="shared" si="0"/>
        <v>1.2020815280171306</v>
      </c>
      <c r="D35">
        <f t="shared" si="1"/>
        <v>4.3161112001120863</v>
      </c>
      <c r="E35">
        <f t="shared" si="2"/>
        <v>1.9670741070675</v>
      </c>
      <c r="G35">
        <v>1.7467600000000001</v>
      </c>
      <c r="H35">
        <v>1.2020815279999999</v>
      </c>
      <c r="I35">
        <v>1.7467629870000001</v>
      </c>
      <c r="S35">
        <v>1.2020815280171306</v>
      </c>
      <c r="T35">
        <v>1.9670741070675</v>
      </c>
      <c r="V35">
        <v>1.2020815280171306</v>
      </c>
      <c r="W35">
        <v>1.0880000000000001</v>
      </c>
      <c r="X35">
        <v>1.9670741070675</v>
      </c>
      <c r="Y35" cm="1">
        <f t="array" ref="Y35">INDEX($D$2:$D$111, 110-ROW(A34)+1)</f>
        <v>4.19832531824171</v>
      </c>
    </row>
    <row r="36" spans="1:25">
      <c r="A36">
        <v>3.5</v>
      </c>
      <c r="B36">
        <v>1.123</v>
      </c>
      <c r="C36">
        <f t="shared" si="0"/>
        <v>1.2374368670764582</v>
      </c>
      <c r="D36">
        <f t="shared" si="1"/>
        <v>4.2672611604642441</v>
      </c>
      <c r="E36">
        <f t="shared" si="2"/>
        <v>2.0159241467153421</v>
      </c>
      <c r="G36">
        <v>1.7646500000000001</v>
      </c>
      <c r="H36">
        <v>1.237436867</v>
      </c>
      <c r="I36">
        <v>1.764654154</v>
      </c>
      <c r="S36">
        <v>1.2374368670764582</v>
      </c>
      <c r="T36">
        <v>2.0159241467153421</v>
      </c>
      <c r="V36">
        <v>1.2374368670764582</v>
      </c>
      <c r="W36">
        <v>1.123</v>
      </c>
      <c r="X36">
        <v>2.0159241467153421</v>
      </c>
      <c r="Y36" cm="1">
        <f t="array" ref="Y36">INDEX($D$2:$D$111, 110-ROW(A35)+1)</f>
        <v>4.1613568357379078</v>
      </c>
    </row>
    <row r="37" spans="1:25">
      <c r="A37">
        <v>3.6</v>
      </c>
      <c r="B37">
        <v>1.1519999999999999</v>
      </c>
      <c r="C37">
        <f t="shared" si="0"/>
        <v>1.2727922061357855</v>
      </c>
      <c r="D37">
        <f t="shared" si="1"/>
        <v>4.22591038735216</v>
      </c>
      <c r="E37">
        <f t="shared" si="2"/>
        <v>2.0572749198274263</v>
      </c>
      <c r="G37">
        <v>1.78752</v>
      </c>
      <c r="H37">
        <v>1.2727922060000001</v>
      </c>
      <c r="I37">
        <v>1.787516804</v>
      </c>
      <c r="S37">
        <v>1.2727922061357855</v>
      </c>
      <c r="T37">
        <v>2.0572749198274263</v>
      </c>
      <c r="V37">
        <v>1.2727922061357855</v>
      </c>
      <c r="W37">
        <v>1.1519999999999999</v>
      </c>
      <c r="X37">
        <v>2.0572749198274263</v>
      </c>
      <c r="Y37" cm="1">
        <f t="array" ref="Y37">INDEX($D$2:$D$111, 110-ROW(A36)+1)</f>
        <v>4.1235282305797636</v>
      </c>
    </row>
    <row r="38" spans="1:25">
      <c r="A38">
        <v>3.7</v>
      </c>
      <c r="B38">
        <v>1.1870000000000001</v>
      </c>
      <c r="C38">
        <f t="shared" si="0"/>
        <v>1.308147545195113</v>
      </c>
      <c r="D38">
        <f t="shared" si="1"/>
        <v>4.1747588281346584</v>
      </c>
      <c r="E38">
        <f t="shared" si="2"/>
        <v>2.1084264790449279</v>
      </c>
      <c r="G38">
        <v>1.81708</v>
      </c>
      <c r="H38">
        <v>1.308147545</v>
      </c>
      <c r="I38">
        <v>1.817083601</v>
      </c>
      <c r="S38">
        <v>1.308147545195113</v>
      </c>
      <c r="T38">
        <v>2.1084264790449279</v>
      </c>
      <c r="V38">
        <v>1.308147545195113</v>
      </c>
      <c r="W38">
        <v>1.1870000000000001</v>
      </c>
      <c r="X38">
        <v>2.1084264790449279</v>
      </c>
      <c r="Y38" cm="1">
        <f t="array" ref="Y38">INDEX($D$2:$D$111, 110-ROW(A37)+1)</f>
        <v>4.0847181277153339</v>
      </c>
    </row>
    <row r="39" spans="1:25">
      <c r="A39">
        <v>3.8</v>
      </c>
      <c r="B39">
        <v>1.2190000000000001</v>
      </c>
      <c r="C39">
        <f t="shared" si="0"/>
        <v>1.3435028842544401</v>
      </c>
      <c r="D39">
        <f t="shared" si="1"/>
        <v>4.1265889002015399</v>
      </c>
      <c r="E39">
        <f t="shared" si="2"/>
        <v>2.1565964069780459</v>
      </c>
      <c r="G39">
        <v>1.84853</v>
      </c>
      <c r="H39">
        <v>1.3435028840000001</v>
      </c>
      <c r="I39">
        <v>1.848533931</v>
      </c>
      <c r="S39">
        <v>1.3435028842544401</v>
      </c>
      <c r="T39">
        <v>2.1565964069780459</v>
      </c>
      <c r="V39">
        <v>1.3435028842544401</v>
      </c>
      <c r="W39">
        <v>1.2190000000000001</v>
      </c>
      <c r="X39">
        <v>2.1565964069780459</v>
      </c>
      <c r="Y39" cm="1">
        <f t="array" ref="Y39">INDEX($D$2:$D$111, 110-ROW(A38)+1)</f>
        <v>4.043159101151149</v>
      </c>
    </row>
    <row r="40" spans="1:25">
      <c r="A40">
        <v>3.9</v>
      </c>
      <c r="B40">
        <v>1.2350000000000001</v>
      </c>
      <c r="C40">
        <f t="shared" si="0"/>
        <v>1.3788582233137676</v>
      </c>
      <c r="D40">
        <f t="shared" si="1"/>
        <v>4.1019241351814308</v>
      </c>
      <c r="E40">
        <f t="shared" si="2"/>
        <v>2.1812611719981554</v>
      </c>
      <c r="G40">
        <v>1.8802700000000001</v>
      </c>
      <c r="H40">
        <v>1.3788582229999999</v>
      </c>
      <c r="I40">
        <v>1.880268949</v>
      </c>
      <c r="S40">
        <v>1.3788582233137676</v>
      </c>
      <c r="T40">
        <v>2.1812611719981554</v>
      </c>
      <c r="V40">
        <v>1.3788582233137676</v>
      </c>
      <c r="W40">
        <v>1.2350000000000001</v>
      </c>
      <c r="X40">
        <v>2.1812611719981554</v>
      </c>
      <c r="Y40" cm="1">
        <f t="array" ref="Y40">INDEX($D$2:$D$111, 110-ROW(A39)+1)</f>
        <v>4.0018673071994231</v>
      </c>
    </row>
    <row r="41" spans="1:25">
      <c r="A41">
        <v>4</v>
      </c>
      <c r="B41">
        <v>1.27</v>
      </c>
      <c r="C41">
        <f t="shared" si="0"/>
        <v>1.4142135623730949</v>
      </c>
      <c r="D41">
        <f t="shared" si="1"/>
        <v>4.0464034098561026</v>
      </c>
      <c r="E41">
        <f t="shared" si="2"/>
        <v>2.2367818973234832</v>
      </c>
      <c r="G41">
        <v>1.9225300000000001</v>
      </c>
      <c r="H41">
        <v>1.414213562</v>
      </c>
      <c r="I41">
        <v>1.9225284279999999</v>
      </c>
      <c r="S41">
        <v>1.4142135623730949</v>
      </c>
      <c r="T41">
        <v>2.2367818973234832</v>
      </c>
      <c r="V41">
        <v>1.4142135623730949</v>
      </c>
      <c r="W41">
        <v>1.27</v>
      </c>
      <c r="X41">
        <v>2.2367818973234832</v>
      </c>
      <c r="Y41" cm="1">
        <f t="array" ref="Y41">INDEX($D$2:$D$111, 110-ROW(A40)+1)</f>
        <v>3.9573043247777</v>
      </c>
    </row>
    <row r="42" spans="1:25">
      <c r="A42">
        <v>4.0999999999999996</v>
      </c>
      <c r="B42">
        <v>1.3009999999999999</v>
      </c>
      <c r="C42">
        <f t="shared" si="0"/>
        <v>1.4495689014324222</v>
      </c>
      <c r="D42">
        <f t="shared" si="1"/>
        <v>3.995125544768146</v>
      </c>
      <c r="E42">
        <f t="shared" si="2"/>
        <v>2.2880597624114403</v>
      </c>
      <c r="G42">
        <v>1.9637199999999999</v>
      </c>
      <c r="H42">
        <v>1.4495689009999999</v>
      </c>
      <c r="I42">
        <v>1.9637229949999999</v>
      </c>
      <c r="S42">
        <v>1.4495689014324222</v>
      </c>
      <c r="T42">
        <v>2.2880597624114403</v>
      </c>
      <c r="V42">
        <v>1.4495689014324222</v>
      </c>
      <c r="W42">
        <v>1.3009999999999999</v>
      </c>
      <c r="X42">
        <v>2.2880597624114403</v>
      </c>
      <c r="Y42" cm="1">
        <f t="array" ref="Y42">INDEX($D$2:$D$111, 110-ROW(A41)+1)</f>
        <v>3.9126166516237904</v>
      </c>
    </row>
    <row r="43" spans="1:25">
      <c r="A43">
        <v>4.2</v>
      </c>
      <c r="B43">
        <v>1.33</v>
      </c>
      <c r="C43">
        <f t="shared" si="0"/>
        <v>1.4849242404917498</v>
      </c>
      <c r="D43">
        <f t="shared" si="1"/>
        <v>3.9449873188024878</v>
      </c>
      <c r="E43">
        <f t="shared" si="2"/>
        <v>2.3381979883770985</v>
      </c>
      <c r="G43">
        <v>2.00387</v>
      </c>
      <c r="H43">
        <v>1.48492424</v>
      </c>
      <c r="I43">
        <v>2.0038717359999998</v>
      </c>
      <c r="S43">
        <v>1.4849242404917498</v>
      </c>
      <c r="T43">
        <v>2.3381979883770985</v>
      </c>
      <c r="V43">
        <v>1.4849242404917498</v>
      </c>
      <c r="W43">
        <v>1.33</v>
      </c>
      <c r="X43">
        <v>2.3381979883770985</v>
      </c>
      <c r="Y43" cm="1">
        <f t="array" ref="Y43">INDEX($D$2:$D$111, 110-ROW(A42)+1)</f>
        <v>3.8657701711541685</v>
      </c>
    </row>
    <row r="44" spans="1:25">
      <c r="A44">
        <v>4.3</v>
      </c>
      <c r="B44">
        <v>1.361</v>
      </c>
      <c r="C44">
        <f t="shared" si="0"/>
        <v>1.5202795795510771</v>
      </c>
      <c r="D44">
        <f t="shared" si="1"/>
        <v>3.8885522190131847</v>
      </c>
      <c r="E44">
        <f t="shared" si="2"/>
        <v>2.3946330881664015</v>
      </c>
      <c r="G44">
        <v>2.0483799999999999</v>
      </c>
      <c r="H44">
        <v>1.52027958</v>
      </c>
      <c r="I44">
        <v>2.0483774490000002</v>
      </c>
      <c r="S44">
        <v>1.5202795795510771</v>
      </c>
      <c r="T44">
        <v>2.3946330881664015</v>
      </c>
      <c r="V44">
        <v>1.5202795795510771</v>
      </c>
      <c r="W44">
        <v>1.361</v>
      </c>
      <c r="X44">
        <v>2.3946330881664015</v>
      </c>
      <c r="Y44" cm="1">
        <f t="array" ref="Y44">INDEX($D$2:$D$111, 110-ROW(A43)+1)</f>
        <v>3.8183336342143552</v>
      </c>
    </row>
    <row r="45" spans="1:25">
      <c r="A45">
        <v>4.4000000000000004</v>
      </c>
      <c r="B45">
        <v>1.39</v>
      </c>
      <c r="C45">
        <f t="shared" si="0"/>
        <v>1.5556349186104046</v>
      </c>
      <c r="D45">
        <f t="shared" si="1"/>
        <v>3.8324489984329984</v>
      </c>
      <c r="E45">
        <f t="shared" si="2"/>
        <v>2.4507363087465879</v>
      </c>
      <c r="G45">
        <v>2.09578</v>
      </c>
      <c r="H45">
        <v>1.5556349190000001</v>
      </c>
      <c r="I45">
        <v>2.0957801900000002</v>
      </c>
      <c r="S45">
        <v>1.5556349186104046</v>
      </c>
      <c r="T45">
        <v>2.4507363087465879</v>
      </c>
      <c r="V45">
        <v>1.5556349186104046</v>
      </c>
      <c r="W45">
        <v>1.39</v>
      </c>
      <c r="X45">
        <v>2.4507363087465879</v>
      </c>
      <c r="Y45" cm="1">
        <f t="array" ref="Y45">INDEX($D$2:$D$111, 110-ROW(A44)+1)</f>
        <v>3.7700809491407985</v>
      </c>
    </row>
    <row r="46" spans="1:25">
      <c r="A46">
        <v>4.5</v>
      </c>
      <c r="B46">
        <v>1.4159999999999999</v>
      </c>
      <c r="C46">
        <f t="shared" si="0"/>
        <v>1.5909902576697319</v>
      </c>
      <c r="D46">
        <f t="shared" si="1"/>
        <v>3.7786970131667768</v>
      </c>
      <c r="E46">
        <f t="shared" si="2"/>
        <v>2.5044882940128095</v>
      </c>
      <c r="G46">
        <v>2.14072</v>
      </c>
      <c r="H46">
        <v>1.5909902579999999</v>
      </c>
      <c r="I46">
        <v>2.1407206620000001</v>
      </c>
      <c r="S46">
        <v>1.5909902576697319</v>
      </c>
      <c r="T46">
        <v>2.5044882940128095</v>
      </c>
      <c r="V46">
        <v>1.5909902576697319</v>
      </c>
      <c r="W46">
        <v>1.4159999999999999</v>
      </c>
      <c r="X46">
        <v>2.5044882940128095</v>
      </c>
      <c r="Y46" cm="1">
        <f t="array" ref="Y46">INDEX($D$2:$D$111, 110-ROW(A45)+1)</f>
        <v>3.7160441971915348</v>
      </c>
    </row>
    <row r="47" spans="1:25">
      <c r="A47">
        <v>4.5999999999999996</v>
      </c>
      <c r="B47">
        <v>1.44</v>
      </c>
      <c r="C47">
        <f t="shared" si="0"/>
        <v>1.626345596729059</v>
      </c>
      <c r="D47">
        <f t="shared" si="1"/>
        <v>3.7253549533126042</v>
      </c>
      <c r="E47">
        <f t="shared" si="2"/>
        <v>2.557830353866982</v>
      </c>
      <c r="G47">
        <v>2.1909200000000002</v>
      </c>
      <c r="H47">
        <v>1.626345597</v>
      </c>
      <c r="I47">
        <v>2.1909191159999999</v>
      </c>
      <c r="S47">
        <v>1.626345596729059</v>
      </c>
      <c r="T47">
        <v>2.557830353866982</v>
      </c>
      <c r="V47">
        <v>1.626345596729059</v>
      </c>
      <c r="W47">
        <v>1.44</v>
      </c>
      <c r="X47">
        <v>2.557830353866982</v>
      </c>
      <c r="Y47" cm="1">
        <f t="array" ref="Y47">INDEX($D$2:$D$111, 110-ROW(A46)+1)</f>
        <v>3.6748682986059462</v>
      </c>
    </row>
    <row r="48" spans="1:25">
      <c r="A48">
        <v>4.7</v>
      </c>
      <c r="B48">
        <v>1.462</v>
      </c>
      <c r="C48">
        <f t="shared" si="0"/>
        <v>1.6617009357883867</v>
      </c>
      <c r="D48">
        <f t="shared" si="1"/>
        <v>3.6723570666846532</v>
      </c>
      <c r="E48">
        <f t="shared" si="2"/>
        <v>2.610828240494933</v>
      </c>
      <c r="G48">
        <v>2.2389100000000002</v>
      </c>
      <c r="H48">
        <v>1.6617009359999999</v>
      </c>
      <c r="I48">
        <v>2.2389075250000001</v>
      </c>
      <c r="S48">
        <v>1.6617009357883867</v>
      </c>
      <c r="T48">
        <v>2.610828240494933</v>
      </c>
      <c r="V48">
        <v>1.6617009357883867</v>
      </c>
      <c r="W48">
        <v>1.462</v>
      </c>
      <c r="X48">
        <v>2.610828240494933</v>
      </c>
      <c r="Y48" cm="1">
        <f t="array" ref="Y48">INDEX($D$2:$D$111, 110-ROW(A47)+1)</f>
        <v>3.6748682986059462</v>
      </c>
    </row>
    <row r="49" spans="1:25">
      <c r="A49">
        <v>4.8</v>
      </c>
      <c r="B49">
        <v>1.482</v>
      </c>
      <c r="C49">
        <f t="shared" si="0"/>
        <v>1.6970562748477138</v>
      </c>
      <c r="D49">
        <f t="shared" si="1"/>
        <v>3.6196331241414348</v>
      </c>
      <c r="E49">
        <f t="shared" si="2"/>
        <v>2.6635521830381514</v>
      </c>
      <c r="G49">
        <v>2.2909099999999998</v>
      </c>
      <c r="H49">
        <v>1.697056275</v>
      </c>
      <c r="I49">
        <v>2.2909130520000001</v>
      </c>
      <c r="S49">
        <v>1.6970562748477138</v>
      </c>
      <c r="T49">
        <v>2.6635521830381514</v>
      </c>
      <c r="V49">
        <v>1.6970562748477138</v>
      </c>
      <c r="W49">
        <v>1.482</v>
      </c>
      <c r="X49">
        <v>2.6635521830381514</v>
      </c>
      <c r="Y49" cm="1">
        <f t="array" ref="Y49">INDEX($D$2:$D$111, 110-ROW(A48)+1)</f>
        <v>3.5969835575949989</v>
      </c>
    </row>
    <row r="50" spans="1:25">
      <c r="A50">
        <v>4.9000000000000004</v>
      </c>
      <c r="B50">
        <v>1.528</v>
      </c>
      <c r="C50">
        <f t="shared" si="0"/>
        <v>1.7324116139070413</v>
      </c>
      <c r="D50">
        <f t="shared" si="1"/>
        <v>3.470187265602739</v>
      </c>
      <c r="E50">
        <f t="shared" si="2"/>
        <v>2.8129980415768472</v>
      </c>
      <c r="G50">
        <v>2.3387199999999999</v>
      </c>
      <c r="H50">
        <v>1.7324116140000001</v>
      </c>
      <c r="I50">
        <v>2.3387216159999999</v>
      </c>
      <c r="S50">
        <v>1.7324116139070413</v>
      </c>
      <c r="T50">
        <v>2.8129980415768472</v>
      </c>
      <c r="V50">
        <v>1.7324116139070413</v>
      </c>
      <c r="W50">
        <v>1.528</v>
      </c>
      <c r="X50">
        <v>2.8129980415768472</v>
      </c>
      <c r="Y50" cm="1">
        <f t="array" ref="Y50">INDEX($D$2:$D$111, 110-ROW(A49)+1)</f>
        <v>3.5514003691592038</v>
      </c>
    </row>
    <row r="51" spans="1:25">
      <c r="A51">
        <v>5</v>
      </c>
      <c r="B51">
        <v>1.542</v>
      </c>
      <c r="C51">
        <f t="shared" si="0"/>
        <v>1.7677669529663687</v>
      </c>
      <c r="D51">
        <f t="shared" si="1"/>
        <v>3.4094839520027609</v>
      </c>
      <c r="E51">
        <f t="shared" si="2"/>
        <v>2.8737013551768253</v>
      </c>
      <c r="G51">
        <v>2.3865099999999999</v>
      </c>
      <c r="H51">
        <v>1.767766953</v>
      </c>
      <c r="I51">
        <v>2.3865136869999999</v>
      </c>
      <c r="S51">
        <v>1.7677669529663687</v>
      </c>
      <c r="T51">
        <v>2.8737013551768253</v>
      </c>
      <c r="V51">
        <v>1.7677669529663687</v>
      </c>
      <c r="W51">
        <v>1.542</v>
      </c>
      <c r="X51">
        <v>2.8737013551768253</v>
      </c>
      <c r="Y51" cm="1">
        <f t="array" ref="Y51">INDEX($D$2:$D$111, 110-ROW(A50)+1)</f>
        <v>3.470187265602739</v>
      </c>
    </row>
    <row r="52" spans="1:25">
      <c r="A52">
        <v>5.0999999999999996</v>
      </c>
      <c r="B52">
        <v>1.5529999999999999</v>
      </c>
      <c r="C52">
        <f t="shared" si="0"/>
        <v>1.803122292025696</v>
      </c>
      <c r="D52">
        <f t="shared" si="1"/>
        <v>3.3500856731653759</v>
      </c>
      <c r="E52">
        <f t="shared" si="2"/>
        <v>2.9330996340142104</v>
      </c>
      <c r="G52">
        <v>2.4368699999999999</v>
      </c>
      <c r="H52">
        <v>1.8031222920000001</v>
      </c>
      <c r="I52">
        <v>2.4368689429999999</v>
      </c>
      <c r="S52">
        <v>1.803122292025696</v>
      </c>
      <c r="T52">
        <v>2.9330996340142104</v>
      </c>
      <c r="V52">
        <v>1.803122292025696</v>
      </c>
      <c r="W52">
        <v>1.5529999999999999</v>
      </c>
      <c r="X52">
        <v>2.9330996340142104</v>
      </c>
      <c r="Y52" cm="1">
        <f t="array" ref="Y52">INDEX($D$2:$D$111, 110-ROW(A51)+1)</f>
        <v>3.4235612124842172</v>
      </c>
    </row>
    <row r="53" spans="1:25">
      <c r="A53">
        <v>5.2</v>
      </c>
      <c r="B53">
        <v>1.5589999999999999</v>
      </c>
      <c r="C53">
        <f t="shared" si="0"/>
        <v>1.8384776310850235</v>
      </c>
      <c r="D53">
        <f t="shared" si="1"/>
        <v>3.3091968769108409</v>
      </c>
      <c r="E53">
        <f t="shared" si="2"/>
        <v>2.9739884302687454</v>
      </c>
      <c r="G53">
        <v>2.4747400000000002</v>
      </c>
      <c r="H53">
        <v>1.8384776309999999</v>
      </c>
      <c r="I53">
        <v>2.4747386169999999</v>
      </c>
      <c r="S53">
        <v>1.8384776310850235</v>
      </c>
      <c r="T53">
        <v>2.9739884302687454</v>
      </c>
      <c r="V53">
        <v>1.8384776310850235</v>
      </c>
      <c r="W53">
        <v>1.5589999999999999</v>
      </c>
      <c r="X53">
        <v>2.9739884302687454</v>
      </c>
      <c r="Y53" cm="1">
        <f t="array" ref="Y53">INDEX($D$2:$D$111, 110-ROW(A52)+1)</f>
        <v>3.3895052123363265</v>
      </c>
    </row>
    <row r="54" spans="1:25">
      <c r="A54">
        <v>5.3</v>
      </c>
      <c r="B54">
        <v>1.5649999999999999</v>
      </c>
      <c r="C54">
        <f t="shared" si="0"/>
        <v>1.8738329701443508</v>
      </c>
      <c r="D54">
        <f t="shared" si="1"/>
        <v>3.2545191771292412</v>
      </c>
      <c r="E54">
        <f t="shared" si="2"/>
        <v>3.028666130050345</v>
      </c>
      <c r="G54">
        <v>2.5145300000000002</v>
      </c>
      <c r="H54">
        <v>1.87383297</v>
      </c>
      <c r="I54">
        <v>2.514526005</v>
      </c>
      <c r="S54">
        <v>1.8738329701443508</v>
      </c>
      <c r="T54">
        <v>3.028666130050345</v>
      </c>
      <c r="V54">
        <v>1.8738329701443508</v>
      </c>
      <c r="W54">
        <v>1.5649999999999999</v>
      </c>
      <c r="X54">
        <v>3.028666130050345</v>
      </c>
      <c r="Y54" cm="1">
        <f t="array" ref="Y54">INDEX($D$2:$D$111, 110-ROW(A53)+1)</f>
        <v>3.3561531646166358</v>
      </c>
    </row>
    <row r="55" spans="1:25">
      <c r="A55">
        <v>5.4</v>
      </c>
      <c r="B55">
        <v>1.5680000000000001</v>
      </c>
      <c r="C55">
        <f t="shared" si="0"/>
        <v>1.9091883092036783</v>
      </c>
      <c r="D55">
        <f t="shared" si="1"/>
        <v>3.2129908789484407</v>
      </c>
      <c r="E55">
        <f t="shared" si="2"/>
        <v>3.0701944282311455</v>
      </c>
      <c r="G55">
        <v>2.5537399999999999</v>
      </c>
      <c r="H55">
        <v>1.9091883089999999</v>
      </c>
      <c r="I55">
        <v>2.5537414969999999</v>
      </c>
      <c r="S55">
        <v>1.9091883092036783</v>
      </c>
      <c r="T55">
        <v>3.0701944282311455</v>
      </c>
      <c r="V55">
        <v>1.9091883092036783</v>
      </c>
      <c r="W55">
        <v>1.5680000000000001</v>
      </c>
      <c r="X55">
        <v>3.0701944282311455</v>
      </c>
      <c r="Y55" cm="1">
        <f t="array" ref="Y55">INDEX($D$2:$D$111, 110-ROW(A54)+1)</f>
        <v>3.1415926535897931</v>
      </c>
    </row>
    <row r="56" spans="1:25">
      <c r="A56">
        <v>5.5</v>
      </c>
      <c r="B56">
        <v>1.57</v>
      </c>
      <c r="C56">
        <f t="shared" si="0"/>
        <v>1.9445436482630056</v>
      </c>
      <c r="D56">
        <f t="shared" si="1"/>
        <v>3.1415926535897931</v>
      </c>
      <c r="E56">
        <f t="shared" si="2"/>
        <v>3.1415926535897931</v>
      </c>
      <c r="G56">
        <v>2.5985</v>
      </c>
      <c r="H56">
        <v>1.944543648</v>
      </c>
      <c r="I56">
        <v>2.5985011039999999</v>
      </c>
      <c r="S56">
        <v>1.9445436482630056</v>
      </c>
      <c r="T56">
        <v>3.1415926535897931</v>
      </c>
      <c r="V56">
        <v>1.9445436482630056</v>
      </c>
      <c r="W56">
        <v>1.57</v>
      </c>
      <c r="X56">
        <v>3.1415926535897931</v>
      </c>
      <c r="Y56" cm="1">
        <f t="array" ref="Y56">INDEX($D$2:$D$111, 110-ROW(A55)+1)</f>
        <v>3.1415926535897931</v>
      </c>
    </row>
    <row r="57" spans="1:25">
      <c r="A57">
        <v>5.6</v>
      </c>
      <c r="B57">
        <v>1.57</v>
      </c>
      <c r="C57">
        <f t="shared" si="0"/>
        <v>1.9798989873223327</v>
      </c>
      <c r="D57">
        <f t="shared" si="1"/>
        <v>3.1415926535897931</v>
      </c>
      <c r="E57">
        <f t="shared" si="2"/>
        <v>3.1415926535897931</v>
      </c>
      <c r="S57">
        <v>1.9798989873223327</v>
      </c>
      <c r="T57">
        <v>3.1415926535897931</v>
      </c>
      <c r="V57">
        <v>1.9798989873223327</v>
      </c>
      <c r="W57">
        <v>1.57</v>
      </c>
      <c r="X57">
        <v>3.1415926535897931</v>
      </c>
      <c r="Y57" cm="1">
        <f t="array" ref="Y57">INDEX($D$2:$D$111, 110-ROW(A56)+1)</f>
        <v>3.1415926535897931</v>
      </c>
    </row>
    <row r="58" spans="1:25">
      <c r="A58">
        <v>5.7</v>
      </c>
      <c r="B58">
        <v>1.57</v>
      </c>
      <c r="C58">
        <f t="shared" si="0"/>
        <v>2.0152543263816605</v>
      </c>
      <c r="D58">
        <f t="shared" si="1"/>
        <v>3.1415926535897931</v>
      </c>
      <c r="E58">
        <f t="shared" si="2"/>
        <v>3.1415926535897931</v>
      </c>
      <c r="S58">
        <v>2.0152543263816605</v>
      </c>
      <c r="T58">
        <v>3.1415926535897931</v>
      </c>
      <c r="V58">
        <v>2.0152543263816605</v>
      </c>
      <c r="W58">
        <v>1.57</v>
      </c>
      <c r="X58">
        <v>3.1415926535897931</v>
      </c>
      <c r="Y58" cm="1">
        <f t="array" ref="Y58">INDEX($D$2:$D$111, 110-ROW(A57)+1)</f>
        <v>3.2129908789484407</v>
      </c>
    </row>
    <row r="59" spans="1:25">
      <c r="A59">
        <v>5.8</v>
      </c>
      <c r="B59">
        <v>1.552</v>
      </c>
      <c r="C59">
        <f t="shared" si="0"/>
        <v>2.0506096654409878</v>
      </c>
      <c r="D59">
        <f t="shared" si="1"/>
        <v>3.3561531646166358</v>
      </c>
      <c r="E59">
        <f t="shared" si="2"/>
        <v>2.9270321425629504</v>
      </c>
      <c r="S59">
        <v>2.0506096654409878</v>
      </c>
      <c r="T59">
        <v>2.9270321425629504</v>
      </c>
      <c r="V59">
        <v>2.0506096654409878</v>
      </c>
      <c r="W59">
        <v>1.552</v>
      </c>
      <c r="X59">
        <v>2.9270321425629504</v>
      </c>
      <c r="Y59" cm="1">
        <f t="array" ref="Y59">INDEX($D$2:$D$111, 110-ROW(A58)+1)</f>
        <v>3.2545191771292412</v>
      </c>
    </row>
    <row r="60" spans="1:25">
      <c r="A60">
        <v>5.9</v>
      </c>
      <c r="B60">
        <v>1.546</v>
      </c>
      <c r="C60">
        <f t="shared" si="0"/>
        <v>2.0859650045003151</v>
      </c>
      <c r="D60">
        <f t="shared" si="1"/>
        <v>3.3895052123363265</v>
      </c>
      <c r="E60">
        <f t="shared" si="2"/>
        <v>2.8936800948432597</v>
      </c>
      <c r="S60">
        <v>2.0859650045003151</v>
      </c>
      <c r="T60">
        <v>2.8936800948432597</v>
      </c>
      <c r="V60">
        <v>2.0859650045003151</v>
      </c>
      <c r="W60">
        <v>1.546</v>
      </c>
      <c r="X60">
        <v>2.8936800948432597</v>
      </c>
      <c r="Y60" cm="1">
        <f t="array" ref="Y60">INDEX($D$2:$D$111, 110-ROW(A59)+1)</f>
        <v>3.3091968769108409</v>
      </c>
    </row>
    <row r="61" spans="1:25">
      <c r="A61">
        <v>6</v>
      </c>
      <c r="B61">
        <v>1.5389999999999999</v>
      </c>
      <c r="C61">
        <f t="shared" si="0"/>
        <v>2.1213203435596424</v>
      </c>
      <c r="D61">
        <f t="shared" si="1"/>
        <v>3.4235612124842172</v>
      </c>
      <c r="E61">
        <f t="shared" si="2"/>
        <v>2.859624094695369</v>
      </c>
      <c r="S61">
        <v>2.1213203435596424</v>
      </c>
      <c r="T61">
        <v>2.859624094695369</v>
      </c>
      <c r="V61">
        <v>2.1213203435596424</v>
      </c>
      <c r="W61">
        <v>1.5389999999999999</v>
      </c>
      <c r="X61">
        <v>2.859624094695369</v>
      </c>
      <c r="Y61" cm="1">
        <f t="array" ref="Y61">INDEX($D$2:$D$111, 110-ROW(A60)+1)</f>
        <v>3.3500856731653759</v>
      </c>
    </row>
    <row r="62" spans="1:25">
      <c r="A62">
        <v>6.1</v>
      </c>
      <c r="B62">
        <v>1.528</v>
      </c>
      <c r="C62">
        <f t="shared" si="0"/>
        <v>2.1566756826189697</v>
      </c>
      <c r="D62">
        <f t="shared" si="1"/>
        <v>3.470187265602739</v>
      </c>
      <c r="E62">
        <f t="shared" si="2"/>
        <v>2.8129980415768472</v>
      </c>
      <c r="S62">
        <v>2.1566756826189697</v>
      </c>
      <c r="T62">
        <v>2.8129980415768472</v>
      </c>
      <c r="V62">
        <v>2.1566756826189697</v>
      </c>
      <c r="W62">
        <v>1.528</v>
      </c>
      <c r="X62">
        <v>2.8129980415768472</v>
      </c>
      <c r="Y62" cm="1">
        <f t="array" ref="Y62">INDEX($D$2:$D$111, 110-ROW(A61)+1)</f>
        <v>3.4094839520027609</v>
      </c>
    </row>
    <row r="63" spans="1:25">
      <c r="A63">
        <v>6.2</v>
      </c>
      <c r="B63">
        <v>1.5049999999999999</v>
      </c>
      <c r="C63">
        <f t="shared" si="0"/>
        <v>2.1920310216782974</v>
      </c>
      <c r="D63">
        <f t="shared" si="1"/>
        <v>3.5514003691592038</v>
      </c>
      <c r="E63">
        <f t="shared" si="2"/>
        <v>2.7317849380203825</v>
      </c>
      <c r="S63">
        <v>2.1920310216782974</v>
      </c>
      <c r="T63">
        <v>2.7317849380203825</v>
      </c>
      <c r="V63">
        <v>2.1920310216782974</v>
      </c>
      <c r="W63">
        <v>1.5049999999999999</v>
      </c>
      <c r="X63">
        <v>2.7317849380203825</v>
      </c>
      <c r="Y63" cm="1">
        <f t="array" ref="Y63">INDEX($D$2:$D$111, 110-ROW(A62)+1)</f>
        <v>3.470187265602739</v>
      </c>
    </row>
    <row r="64" spans="1:25">
      <c r="A64">
        <v>6.3</v>
      </c>
      <c r="B64">
        <v>1.49</v>
      </c>
      <c r="C64">
        <f t="shared" si="0"/>
        <v>2.2273863607376243</v>
      </c>
      <c r="D64">
        <f t="shared" si="1"/>
        <v>3.5969835575949989</v>
      </c>
      <c r="E64">
        <f t="shared" si="2"/>
        <v>2.6862017495845874</v>
      </c>
      <c r="S64">
        <v>2.2273863607376243</v>
      </c>
      <c r="T64">
        <v>2.6862017495845874</v>
      </c>
      <c r="V64">
        <v>2.2273863607376243</v>
      </c>
      <c r="W64">
        <v>1.49</v>
      </c>
      <c r="X64">
        <v>2.6862017495845874</v>
      </c>
      <c r="Y64" cm="1">
        <f t="array" ref="Y64">INDEX($D$2:$D$111, 110-ROW(A63)+1)</f>
        <v>3.6196331241414348</v>
      </c>
    </row>
    <row r="65" spans="1:25">
      <c r="A65">
        <v>6.4</v>
      </c>
      <c r="B65">
        <v>1.4610000000000001</v>
      </c>
      <c r="C65">
        <f t="shared" si="0"/>
        <v>2.2627416997969521</v>
      </c>
      <c r="D65">
        <f t="shared" si="1"/>
        <v>3.6748682986059462</v>
      </c>
      <c r="E65">
        <f t="shared" si="2"/>
        <v>2.60831700857364</v>
      </c>
      <c r="S65">
        <v>2.2627416997969521</v>
      </c>
      <c r="T65">
        <v>2.60831700857364</v>
      </c>
      <c r="V65">
        <v>2.2627416997969521</v>
      </c>
      <c r="W65">
        <v>1.4610000000000001</v>
      </c>
      <c r="X65">
        <v>2.60831700857364</v>
      </c>
      <c r="Y65" cm="1">
        <f t="array" ref="Y65">INDEX($D$2:$D$111, 110-ROW(A64)+1)</f>
        <v>3.6723570666846532</v>
      </c>
    </row>
    <row r="66" spans="1:25">
      <c r="A66">
        <v>6.5</v>
      </c>
      <c r="B66">
        <v>1.4610000000000001</v>
      </c>
      <c r="C66">
        <f t="shared" si="0"/>
        <v>2.2980970388562794</v>
      </c>
      <c r="D66">
        <f t="shared" si="1"/>
        <v>3.6748682986059462</v>
      </c>
      <c r="E66">
        <f t="shared" si="2"/>
        <v>2.60831700857364</v>
      </c>
      <c r="S66">
        <v>2.2980970388562794</v>
      </c>
      <c r="T66">
        <v>2.60831700857364</v>
      </c>
      <c r="V66">
        <v>2.2980970388562794</v>
      </c>
      <c r="W66">
        <v>1.4610000000000001</v>
      </c>
      <c r="X66">
        <v>2.60831700857364</v>
      </c>
      <c r="Y66" cm="1">
        <f t="array" ref="Y66">INDEX($D$2:$D$111, 110-ROW(A65)+1)</f>
        <v>3.7253549533126042</v>
      </c>
    </row>
    <row r="67" spans="1:25">
      <c r="A67">
        <v>6.6</v>
      </c>
      <c r="B67">
        <v>1.444</v>
      </c>
      <c r="C67">
        <f t="shared" ref="C67:C111" si="3">A67/(2*SQRT(2))</f>
        <v>2.3334523779156067</v>
      </c>
      <c r="D67">
        <f t="shared" ref="D67:D111" si="4">2*E$58-E67</f>
        <v>3.7160441971915348</v>
      </c>
      <c r="E67">
        <f t="shared" ref="E67:E111" si="5">ACOS(1-(2*(B67/MAX(B$2:B$111))))</f>
        <v>2.5671411099880515</v>
      </c>
      <c r="S67">
        <v>2.3334523779156067</v>
      </c>
      <c r="T67">
        <v>2.5671411099880515</v>
      </c>
      <c r="V67">
        <v>2.3334523779156067</v>
      </c>
      <c r="W67">
        <v>1.444</v>
      </c>
      <c r="X67">
        <v>2.5671411099880515</v>
      </c>
      <c r="Y67" cm="1">
        <f t="array" ref="Y67">INDEX($D$2:$D$111, 110-ROW(A66)+1)</f>
        <v>3.7786970131667768</v>
      </c>
    </row>
    <row r="68" spans="1:25">
      <c r="A68">
        <v>6.71</v>
      </c>
      <c r="B68">
        <v>1.42</v>
      </c>
      <c r="C68">
        <f t="shared" si="3"/>
        <v>2.3723432508808666</v>
      </c>
      <c r="D68">
        <f t="shared" si="4"/>
        <v>3.7700809491407985</v>
      </c>
      <c r="E68">
        <f t="shared" si="5"/>
        <v>2.5131043580387877</v>
      </c>
      <c r="S68">
        <v>2.3723432508808666</v>
      </c>
      <c r="T68">
        <v>2.5131043580387877</v>
      </c>
      <c r="V68">
        <v>2.3723432508808666</v>
      </c>
      <c r="W68">
        <v>1.42</v>
      </c>
      <c r="X68">
        <v>2.5131043580387877</v>
      </c>
      <c r="Y68" cm="1">
        <f t="array" ref="Y68">INDEX($D$2:$D$111, 110-ROW(A67)+1)</f>
        <v>3.8324489984329984</v>
      </c>
    </row>
    <row r="69" spans="1:25">
      <c r="A69">
        <v>6.8</v>
      </c>
      <c r="B69">
        <v>1.397</v>
      </c>
      <c r="C69">
        <f t="shared" si="3"/>
        <v>2.4041630560342613</v>
      </c>
      <c r="D69">
        <f t="shared" si="4"/>
        <v>3.8183336342143552</v>
      </c>
      <c r="E69">
        <f t="shared" si="5"/>
        <v>2.464851672965231</v>
      </c>
      <c r="S69">
        <v>2.4041630560342613</v>
      </c>
      <c r="T69">
        <v>2.464851672965231</v>
      </c>
      <c r="V69">
        <v>2.4041630560342613</v>
      </c>
      <c r="W69">
        <v>1.397</v>
      </c>
      <c r="X69">
        <v>2.464851672965231</v>
      </c>
      <c r="Y69" cm="1">
        <f t="array" ref="Y69">INDEX($D$2:$D$111, 110-ROW(A68)+1)</f>
        <v>3.8885522190131847</v>
      </c>
    </row>
    <row r="70" spans="1:25">
      <c r="A70">
        <v>6.9</v>
      </c>
      <c r="B70">
        <v>1.373</v>
      </c>
      <c r="C70">
        <f t="shared" si="3"/>
        <v>2.439518395093589</v>
      </c>
      <c r="D70">
        <f t="shared" si="4"/>
        <v>3.8657701711541685</v>
      </c>
      <c r="E70">
        <f t="shared" si="5"/>
        <v>2.4174151360254177</v>
      </c>
      <c r="S70">
        <v>2.439518395093589</v>
      </c>
      <c r="T70">
        <v>2.4174151360254177</v>
      </c>
      <c r="V70">
        <v>2.439518395093589</v>
      </c>
      <c r="W70">
        <v>1.373</v>
      </c>
      <c r="X70">
        <v>2.4174151360254177</v>
      </c>
      <c r="Y70" cm="1">
        <f t="array" ref="Y70">INDEX($D$2:$D$111, 110-ROW(A69)+1)</f>
        <v>3.9449873188024878</v>
      </c>
    </row>
    <row r="71" spans="1:25">
      <c r="A71">
        <v>7</v>
      </c>
      <c r="B71">
        <v>1.3480000000000001</v>
      </c>
      <c r="C71">
        <f t="shared" si="3"/>
        <v>2.4748737341529163</v>
      </c>
      <c r="D71">
        <f t="shared" si="4"/>
        <v>3.9126166516237904</v>
      </c>
      <c r="E71">
        <f t="shared" si="5"/>
        <v>2.3705686555557959</v>
      </c>
      <c r="S71">
        <v>2.4748737341529163</v>
      </c>
      <c r="T71">
        <v>2.3705686555557959</v>
      </c>
      <c r="V71">
        <v>2.4748737341529163</v>
      </c>
      <c r="W71">
        <v>1.3480000000000001</v>
      </c>
      <c r="X71">
        <v>2.3705686555557959</v>
      </c>
      <c r="Y71" cm="1">
        <f t="array" ref="Y71">INDEX($D$2:$D$111, 110-ROW(A70)+1)</f>
        <v>3.995125544768146</v>
      </c>
    </row>
    <row r="72" spans="1:25">
      <c r="A72">
        <v>7.1</v>
      </c>
      <c r="B72">
        <v>1.323</v>
      </c>
      <c r="C72">
        <f t="shared" si="3"/>
        <v>2.5102290732122432</v>
      </c>
      <c r="D72">
        <f t="shared" si="4"/>
        <v>3.9573043247777</v>
      </c>
      <c r="E72">
        <f t="shared" si="5"/>
        <v>2.3258809824018862</v>
      </c>
      <c r="S72">
        <v>2.5102290732122432</v>
      </c>
      <c r="T72">
        <v>2.3258809824018862</v>
      </c>
      <c r="V72">
        <v>2.5102290732122432</v>
      </c>
      <c r="W72">
        <v>1.323</v>
      </c>
      <c r="X72">
        <v>2.3258809824018862</v>
      </c>
      <c r="Y72" cm="1">
        <f t="array" ref="Y72">INDEX($D$2:$D$111, 110-ROW(A71)+1)</f>
        <v>4.0464034098561026</v>
      </c>
    </row>
    <row r="73" spans="1:25">
      <c r="A73">
        <v>7.2</v>
      </c>
      <c r="B73">
        <v>1.2969999999999999</v>
      </c>
      <c r="C73">
        <f t="shared" si="3"/>
        <v>2.545584412271571</v>
      </c>
      <c r="D73">
        <f t="shared" si="4"/>
        <v>4.0018673071994231</v>
      </c>
      <c r="E73">
        <f t="shared" si="5"/>
        <v>2.2813179999801632</v>
      </c>
      <c r="S73">
        <v>2.545584412271571</v>
      </c>
      <c r="T73">
        <v>2.2813179999801632</v>
      </c>
      <c r="V73">
        <v>2.545584412271571</v>
      </c>
      <c r="W73">
        <v>1.2969999999999999</v>
      </c>
      <c r="X73">
        <v>2.2813179999801632</v>
      </c>
      <c r="Y73" cm="1">
        <f t="array" ref="Y73">INDEX($D$2:$D$111, 110-ROW(A72)+1)</f>
        <v>4.1019241351814308</v>
      </c>
    </row>
    <row r="74" spans="1:25">
      <c r="A74">
        <v>7.3</v>
      </c>
      <c r="B74">
        <v>1.272</v>
      </c>
      <c r="C74">
        <f t="shared" si="3"/>
        <v>2.5809397513308983</v>
      </c>
      <c r="D74">
        <f t="shared" si="4"/>
        <v>4.043159101151149</v>
      </c>
      <c r="E74">
        <f t="shared" si="5"/>
        <v>2.2400262060284373</v>
      </c>
      <c r="S74">
        <v>2.5809397513308983</v>
      </c>
      <c r="T74">
        <v>2.2400262060284373</v>
      </c>
      <c r="V74">
        <v>2.5809397513308983</v>
      </c>
      <c r="W74">
        <v>1.272</v>
      </c>
      <c r="X74">
        <v>2.2400262060284373</v>
      </c>
      <c r="Y74" cm="1">
        <f t="array" ref="Y74">INDEX($D$2:$D$111, 110-ROW(A73)+1)</f>
        <v>4.1265889002015399</v>
      </c>
    </row>
    <row r="75" spans="1:25">
      <c r="A75">
        <v>7.4</v>
      </c>
      <c r="B75">
        <v>1.246</v>
      </c>
      <c r="C75">
        <f t="shared" si="3"/>
        <v>2.616295090390226</v>
      </c>
      <c r="D75">
        <f t="shared" si="4"/>
        <v>4.0847181277153339</v>
      </c>
      <c r="E75">
        <f t="shared" si="5"/>
        <v>2.1984671794642527</v>
      </c>
      <c r="S75">
        <v>2.616295090390226</v>
      </c>
      <c r="T75">
        <v>2.1984671794642527</v>
      </c>
      <c r="V75">
        <v>2.616295090390226</v>
      </c>
      <c r="W75">
        <v>1.246</v>
      </c>
      <c r="X75">
        <v>2.1984671794642527</v>
      </c>
      <c r="Y75" cm="1">
        <f t="array" ref="Y75">INDEX($D$2:$D$111, 110-ROW(A74)+1)</f>
        <v>4.1747588281346584</v>
      </c>
    </row>
    <row r="76" spans="1:25">
      <c r="A76">
        <v>7.5</v>
      </c>
      <c r="B76">
        <v>1.2210000000000001</v>
      </c>
      <c r="C76">
        <f t="shared" si="3"/>
        <v>2.6516504294495529</v>
      </c>
      <c r="D76">
        <f t="shared" si="4"/>
        <v>4.1235282305797636</v>
      </c>
      <c r="E76">
        <f t="shared" si="5"/>
        <v>2.1596570765998226</v>
      </c>
      <c r="S76">
        <v>2.6516504294495529</v>
      </c>
      <c r="T76">
        <v>2.1596570765998226</v>
      </c>
      <c r="V76">
        <v>2.6516504294495529</v>
      </c>
      <c r="W76">
        <v>1.2210000000000001</v>
      </c>
      <c r="X76">
        <v>2.1596570765998226</v>
      </c>
      <c r="Y76" cm="1">
        <f t="array" ref="Y76">INDEX($D$2:$D$111, 110-ROW(A75)+1)</f>
        <v>4.22591038735216</v>
      </c>
    </row>
    <row r="77" spans="1:25">
      <c r="A77">
        <v>7.6</v>
      </c>
      <c r="B77">
        <v>1.196</v>
      </c>
      <c r="C77">
        <f t="shared" si="3"/>
        <v>2.6870057685088802</v>
      </c>
      <c r="D77">
        <f t="shared" si="4"/>
        <v>4.1613568357379078</v>
      </c>
      <c r="E77">
        <f t="shared" si="5"/>
        <v>2.1218284714416784</v>
      </c>
      <c r="S77">
        <v>2.6870057685088802</v>
      </c>
      <c r="T77">
        <v>2.1218284714416784</v>
      </c>
      <c r="V77">
        <v>2.6870057685088802</v>
      </c>
      <c r="W77">
        <v>1.196</v>
      </c>
      <c r="X77">
        <v>2.1218284714416784</v>
      </c>
      <c r="Y77" cm="1">
        <f t="array" ref="Y77">INDEX($D$2:$D$111, 110-ROW(A76)+1)</f>
        <v>4.2672611604642441</v>
      </c>
    </row>
    <row r="78" spans="1:25">
      <c r="A78">
        <v>7.7</v>
      </c>
      <c r="B78">
        <v>1.171</v>
      </c>
      <c r="C78">
        <f t="shared" si="3"/>
        <v>2.7223611075682079</v>
      </c>
      <c r="D78">
        <f t="shared" si="4"/>
        <v>4.19832531824171</v>
      </c>
      <c r="E78">
        <f t="shared" si="5"/>
        <v>2.0848599889378763</v>
      </c>
      <c r="S78">
        <v>2.7223611075682079</v>
      </c>
      <c r="T78">
        <v>2.0848599889378763</v>
      </c>
      <c r="V78">
        <v>2.7223611075682079</v>
      </c>
      <c r="W78">
        <v>1.171</v>
      </c>
      <c r="X78">
        <v>2.0848599889378763</v>
      </c>
      <c r="Y78" cm="1">
        <f t="array" ref="Y78">INDEX($D$2:$D$111, 110-ROW(A77)+1)</f>
        <v>4.3161112001120863</v>
      </c>
    </row>
    <row r="79" spans="1:25">
      <c r="A79">
        <v>7.8</v>
      </c>
      <c r="B79">
        <v>1.1439999999999999</v>
      </c>
      <c r="C79">
        <f t="shared" si="3"/>
        <v>2.7577164466275352</v>
      </c>
      <c r="D79">
        <f t="shared" si="4"/>
        <v>4.2374042805898569</v>
      </c>
      <c r="E79">
        <f t="shared" si="5"/>
        <v>2.0457810265897298</v>
      </c>
      <c r="S79">
        <v>2.7577164466275352</v>
      </c>
      <c r="T79">
        <v>2.0457810265897298</v>
      </c>
      <c r="V79">
        <v>2.7577164466275352</v>
      </c>
      <c r="W79">
        <v>1.1439999999999999</v>
      </c>
      <c r="X79">
        <v>2.0457810265897298</v>
      </c>
      <c r="Y79" cm="1">
        <f t="array" ref="Y79">INDEX($D$2:$D$111, 110-ROW(A78)+1)</f>
        <v>4.3639816382210999</v>
      </c>
    </row>
    <row r="80" spans="1:25">
      <c r="A80">
        <v>7.9</v>
      </c>
      <c r="B80">
        <v>1.1180000000000001</v>
      </c>
      <c r="C80">
        <f t="shared" si="3"/>
        <v>2.7930717856868625</v>
      </c>
      <c r="D80">
        <f t="shared" si="4"/>
        <v>4.2743064805068727</v>
      </c>
      <c r="E80">
        <f t="shared" si="5"/>
        <v>2.0088788266727131</v>
      </c>
      <c r="S80">
        <v>2.7930717856868625</v>
      </c>
      <c r="T80">
        <v>2.0088788266727131</v>
      </c>
      <c r="V80">
        <v>2.7930717856868625</v>
      </c>
      <c r="W80">
        <v>1.1180000000000001</v>
      </c>
      <c r="X80">
        <v>2.0088788266727131</v>
      </c>
      <c r="Y80" cm="1">
        <f t="array" ref="Y80">INDEX($D$2:$D$111, 110-ROW(A79)+1)</f>
        <v>4.4056926016682034</v>
      </c>
    </row>
    <row r="81" spans="1:25">
      <c r="A81">
        <v>8</v>
      </c>
      <c r="B81">
        <v>1.091</v>
      </c>
      <c r="C81">
        <f t="shared" si="3"/>
        <v>2.8284271247461898</v>
      </c>
      <c r="D81">
        <f t="shared" si="4"/>
        <v>4.3119648934659711</v>
      </c>
      <c r="E81">
        <f t="shared" si="5"/>
        <v>1.9712204137136151</v>
      </c>
      <c r="S81">
        <v>2.8284271247461898</v>
      </c>
      <c r="T81">
        <v>1.9712204137136151</v>
      </c>
      <c r="V81">
        <v>2.8284271247461898</v>
      </c>
      <c r="W81">
        <v>1.091</v>
      </c>
      <c r="X81">
        <v>1.9712204137136151</v>
      </c>
      <c r="Y81" cm="1">
        <f t="array" ref="Y81">INDEX($D$2:$D$111, 110-ROW(A80)+1)</f>
        <v>4.4455389519271638</v>
      </c>
    </row>
    <row r="82" spans="1:25">
      <c r="A82">
        <v>8.1999999999999993</v>
      </c>
      <c r="B82">
        <v>1.044</v>
      </c>
      <c r="C82">
        <f t="shared" si="3"/>
        <v>2.8991378028648445</v>
      </c>
      <c r="D82">
        <f t="shared" si="4"/>
        <v>4.3761528785389272</v>
      </c>
      <c r="E82">
        <f t="shared" si="5"/>
        <v>1.9070324286406588</v>
      </c>
      <c r="S82">
        <v>2.8991378028648445</v>
      </c>
      <c r="T82">
        <v>1.9070324286406588</v>
      </c>
      <c r="V82">
        <v>2.8991378028648445</v>
      </c>
      <c r="W82">
        <v>1.044</v>
      </c>
      <c r="X82">
        <v>1.9070324286406588</v>
      </c>
      <c r="Y82" cm="1">
        <f t="array" ref="Y82">INDEX($D$2:$D$111, 110-ROW(A81)+1)</f>
        <v>4.4823397289690243</v>
      </c>
    </row>
    <row r="83" spans="1:25">
      <c r="A83">
        <v>8.4</v>
      </c>
      <c r="B83">
        <v>0.998</v>
      </c>
      <c r="C83">
        <f t="shared" si="3"/>
        <v>2.9698484809834995</v>
      </c>
      <c r="D83">
        <f t="shared" si="4"/>
        <v>4.4376065047347106</v>
      </c>
      <c r="E83">
        <f t="shared" si="5"/>
        <v>1.8455788024448758</v>
      </c>
      <c r="S83">
        <v>2.9698484809834995</v>
      </c>
      <c r="T83">
        <v>1.8455788024448758</v>
      </c>
      <c r="V83">
        <v>2.9698484809834995</v>
      </c>
      <c r="W83">
        <v>0.998</v>
      </c>
      <c r="X83">
        <v>1.8455788024448758</v>
      </c>
      <c r="Y83" cm="1">
        <f t="array" ref="Y83">INDEX($D$2:$D$111, 110-ROW(A82)+1)</f>
        <v>4.5136306803670099</v>
      </c>
    </row>
    <row r="84" spans="1:25">
      <c r="A84">
        <v>8.6</v>
      </c>
      <c r="B84">
        <v>0.95099999999999996</v>
      </c>
      <c r="C84">
        <f t="shared" si="3"/>
        <v>3.0405591591021541</v>
      </c>
      <c r="D84">
        <f t="shared" si="4"/>
        <v>4.4993153989222332</v>
      </c>
      <c r="E84">
        <f t="shared" si="5"/>
        <v>1.7838699082573533</v>
      </c>
      <c r="S84">
        <v>3.0405591591021541</v>
      </c>
      <c r="T84">
        <v>1.7838699082573533</v>
      </c>
      <c r="V84">
        <v>3.0405591591021541</v>
      </c>
      <c r="W84">
        <v>0.95099999999999996</v>
      </c>
      <c r="X84">
        <v>1.7838699082573533</v>
      </c>
      <c r="Y84" cm="1">
        <f t="array" ref="Y84">INDEX($D$2:$D$111, 110-ROW(A83)+1)</f>
        <v>4.5395552756499757</v>
      </c>
    </row>
    <row r="85" spans="1:25">
      <c r="A85">
        <v>8.8000000000000007</v>
      </c>
      <c r="B85">
        <v>0.91200000000000003</v>
      </c>
      <c r="C85">
        <f t="shared" si="3"/>
        <v>3.1112698372208092</v>
      </c>
      <c r="D85">
        <f t="shared" si="4"/>
        <v>4.549891346447172</v>
      </c>
      <c r="E85">
        <f t="shared" si="5"/>
        <v>1.733293960732414</v>
      </c>
      <c r="S85">
        <v>3.1112698372208092</v>
      </c>
      <c r="T85">
        <v>1.733293960732414</v>
      </c>
      <c r="V85">
        <v>3.1112698372208092</v>
      </c>
      <c r="W85">
        <v>0.91200000000000003</v>
      </c>
      <c r="X85">
        <v>1.733293960732414</v>
      </c>
      <c r="Y85" cm="1">
        <f t="array" ref="Y85">INDEX($D$2:$D$111, 110-ROW(A84)+1)</f>
        <v>4.5614985839747835</v>
      </c>
    </row>
    <row r="86" spans="1:25">
      <c r="A86">
        <v>9</v>
      </c>
      <c r="B86">
        <v>0.871</v>
      </c>
      <c r="C86">
        <f t="shared" si="3"/>
        <v>3.1819805153394638</v>
      </c>
      <c r="D86">
        <f t="shared" si="4"/>
        <v>4.6026145013312405</v>
      </c>
      <c r="E86">
        <f t="shared" si="5"/>
        <v>1.6805708058483462</v>
      </c>
      <c r="S86">
        <v>3.1819805153394638</v>
      </c>
      <c r="T86">
        <v>1.6805708058483462</v>
      </c>
      <c r="V86">
        <v>3.1819805153394638</v>
      </c>
      <c r="W86">
        <v>0.871</v>
      </c>
      <c r="X86">
        <v>1.6805708058483462</v>
      </c>
      <c r="Y86" cm="1">
        <f t="array" ref="Y86">INDEX($D$2:$D$111, 110-ROW(A85)+1)</f>
        <v>4.5782289246035655</v>
      </c>
    </row>
    <row r="87" spans="1:25">
      <c r="A87">
        <v>9.1999999999999993</v>
      </c>
      <c r="B87">
        <v>0.82299999999999995</v>
      </c>
      <c r="C87">
        <f t="shared" si="3"/>
        <v>3.252691193458118</v>
      </c>
      <c r="D87">
        <f t="shared" si="4"/>
        <v>4.6639624115045217</v>
      </c>
      <c r="E87">
        <f t="shared" si="5"/>
        <v>1.6192228956750645</v>
      </c>
      <c r="S87">
        <v>3.252691193458118</v>
      </c>
      <c r="T87">
        <v>1.6192228956750645</v>
      </c>
      <c r="V87">
        <v>3.252691193458118</v>
      </c>
      <c r="W87">
        <v>0.82299999999999995</v>
      </c>
      <c r="X87">
        <v>1.6192228956750645</v>
      </c>
      <c r="Y87" cm="1">
        <f t="array" ref="Y87">INDEX($D$2:$D$111, 110-ROW(A86)+1)</f>
        <v>4.5910725080472963</v>
      </c>
    </row>
    <row r="88" spans="1:25">
      <c r="A88">
        <v>9.4</v>
      </c>
      <c r="B88">
        <v>0.78400000000000003</v>
      </c>
      <c r="C88">
        <f t="shared" si="3"/>
        <v>3.3234018715767735</v>
      </c>
      <c r="D88">
        <f t="shared" si="4"/>
        <v>4.7136628660795488</v>
      </c>
      <c r="E88">
        <f t="shared" si="5"/>
        <v>1.5695224411000377</v>
      </c>
      <c r="S88">
        <v>3.3234018715767735</v>
      </c>
      <c r="T88">
        <v>1.5695224411000377</v>
      </c>
      <c r="V88">
        <v>3.3234018715767735</v>
      </c>
      <c r="W88">
        <v>0.78400000000000003</v>
      </c>
      <c r="X88">
        <v>1.5695224411000377</v>
      </c>
      <c r="Y88" cm="1">
        <f t="array" ref="Y88">INDEX($D$2:$D$111, 110-ROW(A87)+1)</f>
        <v>4.6013328109357889</v>
      </c>
    </row>
    <row r="89" spans="1:25">
      <c r="A89">
        <v>9.6</v>
      </c>
      <c r="B89">
        <v>0.752</v>
      </c>
      <c r="C89">
        <f t="shared" si="3"/>
        <v>3.3941125496954276</v>
      </c>
      <c r="D89">
        <f t="shared" si="4"/>
        <v>4.7544395885397739</v>
      </c>
      <c r="E89">
        <f t="shared" si="5"/>
        <v>1.5287457186398126</v>
      </c>
      <c r="S89">
        <v>3.3941125496954276</v>
      </c>
      <c r="T89">
        <v>1.5287457186398126</v>
      </c>
      <c r="V89">
        <v>3.3941125496954276</v>
      </c>
      <c r="W89">
        <v>0.752</v>
      </c>
      <c r="X89">
        <v>1.5287457186398126</v>
      </c>
      <c r="Y89" cm="1">
        <f t="array" ref="Y89">INDEX($D$2:$D$111, 110-ROW(A88)+1)</f>
        <v>4.6090202813918477</v>
      </c>
    </row>
    <row r="90" spans="1:25">
      <c r="A90">
        <v>9.8000000000000007</v>
      </c>
      <c r="B90">
        <v>0.71299999999999997</v>
      </c>
      <c r="C90">
        <f t="shared" si="3"/>
        <v>3.4648232278140827</v>
      </c>
      <c r="D90">
        <f t="shared" si="4"/>
        <v>4.8042378137917456</v>
      </c>
      <c r="E90">
        <f t="shared" si="5"/>
        <v>1.478947493387841</v>
      </c>
      <c r="S90">
        <v>3.4648232278140827</v>
      </c>
      <c r="T90">
        <v>1.478947493387841</v>
      </c>
      <c r="V90">
        <v>3.4648232278140827</v>
      </c>
      <c r="W90">
        <v>0.71299999999999997</v>
      </c>
      <c r="X90">
        <v>1.478947493387841</v>
      </c>
      <c r="Y90" cm="1">
        <f t="array" ref="Y90">INDEX($D$2:$D$111, 110-ROW(A89)+1)</f>
        <v>4.6154218074004261</v>
      </c>
    </row>
    <row r="91" spans="1:25">
      <c r="A91">
        <v>10</v>
      </c>
      <c r="B91">
        <v>0.68500000000000005</v>
      </c>
      <c r="C91">
        <f t="shared" si="3"/>
        <v>3.5355339059327373</v>
      </c>
      <c r="D91">
        <f t="shared" si="4"/>
        <v>4.8401245961081463</v>
      </c>
      <c r="E91">
        <f t="shared" si="5"/>
        <v>1.4430607110714397</v>
      </c>
      <c r="S91">
        <v>3.5355339059327373</v>
      </c>
      <c r="T91">
        <v>1.4430607110714397</v>
      </c>
      <c r="V91">
        <v>3.5355339059327373</v>
      </c>
      <c r="W91">
        <v>0.68500000000000005</v>
      </c>
      <c r="X91">
        <v>1.4430607110714397</v>
      </c>
      <c r="Y91" cm="1">
        <f t="array" ref="Y91">INDEX($D$2:$D$111, 110-ROW(A90)+1)</f>
        <v>4.6218193496498818</v>
      </c>
    </row>
    <row r="92" spans="1:25">
      <c r="A92">
        <v>10.5</v>
      </c>
      <c r="B92">
        <v>0.59699999999999998</v>
      </c>
      <c r="C92">
        <f t="shared" si="3"/>
        <v>3.7123106012293743</v>
      </c>
      <c r="D92">
        <f t="shared" si="4"/>
        <v>4.9542299701380568</v>
      </c>
      <c r="E92">
        <f t="shared" si="5"/>
        <v>1.3289553370415299</v>
      </c>
      <c r="S92">
        <v>3.7123106012293743</v>
      </c>
      <c r="T92">
        <v>1.3289553370415299</v>
      </c>
      <c r="V92">
        <v>3.7123106012293743</v>
      </c>
      <c r="W92">
        <v>0.59699999999999998</v>
      </c>
      <c r="X92">
        <v>1.3289553370415299</v>
      </c>
      <c r="Y92" cm="1">
        <f t="array" ref="Y92">INDEX($D$2:$D$111, 110-ROW(A91)+1)</f>
        <v>4.6243773113562892</v>
      </c>
    </row>
    <row r="93" spans="1:25">
      <c r="A93">
        <v>11</v>
      </c>
      <c r="B93">
        <v>0.53900000000000003</v>
      </c>
      <c r="C93">
        <f t="shared" si="3"/>
        <v>3.8890872965260113</v>
      </c>
      <c r="D93">
        <f t="shared" si="4"/>
        <v>5.0311347948332834</v>
      </c>
      <c r="E93">
        <f t="shared" si="5"/>
        <v>1.2520505123463033</v>
      </c>
      <c r="S93">
        <v>3.8890872965260113</v>
      </c>
      <c r="T93">
        <v>1.2520505123463033</v>
      </c>
      <c r="V93">
        <v>3.8890872965260113</v>
      </c>
      <c r="W93">
        <v>0.53900000000000003</v>
      </c>
      <c r="X93">
        <v>1.2520505123463033</v>
      </c>
      <c r="Y93" cm="1">
        <f t="array" ref="Y93">INDEX($D$2:$D$111, 110-ROW(A92)+1)</f>
        <v>4.6282131769414114</v>
      </c>
    </row>
    <row r="94" spans="1:25">
      <c r="A94">
        <v>11.5</v>
      </c>
      <c r="B94">
        <v>0.504</v>
      </c>
      <c r="C94">
        <f t="shared" si="3"/>
        <v>4.0658639918226482</v>
      </c>
      <c r="D94">
        <f t="shared" si="4"/>
        <v>5.0784730968217122</v>
      </c>
      <c r="E94">
        <f t="shared" si="5"/>
        <v>1.2047122103578745</v>
      </c>
      <c r="S94">
        <v>4.0658639918226482</v>
      </c>
      <c r="T94">
        <v>1.2047122103578745</v>
      </c>
      <c r="V94">
        <v>4.0658639918226482</v>
      </c>
      <c r="W94">
        <v>0.504</v>
      </c>
      <c r="X94">
        <v>1.2047122103578745</v>
      </c>
      <c r="Y94" cm="1">
        <f t="array" ref="Y94">INDEX($D$2:$D$111, 110-ROW(A93)+1)</f>
        <v>4.6320478014355597</v>
      </c>
    </row>
    <row r="95" spans="1:25">
      <c r="A95">
        <v>12</v>
      </c>
      <c r="B95">
        <v>0.46700000000000003</v>
      </c>
      <c r="C95">
        <f t="shared" si="3"/>
        <v>4.2426406871192848</v>
      </c>
      <c r="D95">
        <f t="shared" si="4"/>
        <v>5.1294723082910219</v>
      </c>
      <c r="E95">
        <f t="shared" si="5"/>
        <v>1.1537129988885644</v>
      </c>
      <c r="S95">
        <v>4.2426406871192848</v>
      </c>
      <c r="T95">
        <v>1.1537129988885644</v>
      </c>
      <c r="V95">
        <v>4.2426406871192848</v>
      </c>
      <c r="W95">
        <v>0.46700000000000003</v>
      </c>
      <c r="X95">
        <v>1.1537129988885644</v>
      </c>
      <c r="Y95" cm="1">
        <f t="array" ref="Y95">INDEX($D$2:$D$111, 110-ROW(A94)+1)</f>
        <v>4.634603556689596</v>
      </c>
    </row>
    <row r="96" spans="1:25">
      <c r="A96">
        <v>12.5</v>
      </c>
      <c r="B96">
        <v>0.436</v>
      </c>
      <c r="C96">
        <f t="shared" si="3"/>
        <v>4.4194173824159213</v>
      </c>
      <c r="D96">
        <f t="shared" si="4"/>
        <v>5.1731009842917581</v>
      </c>
      <c r="E96">
        <f t="shared" si="5"/>
        <v>1.1100843228878281</v>
      </c>
      <c r="S96">
        <v>4.4194173824159213</v>
      </c>
      <c r="T96">
        <v>1.1100843228878281</v>
      </c>
      <c r="V96">
        <v>4.4194173824159213</v>
      </c>
      <c r="W96">
        <v>0.436</v>
      </c>
      <c r="X96">
        <v>1.1100843228878281</v>
      </c>
      <c r="Y96" cm="1">
        <f t="array" ref="Y96">INDEX($D$2:$D$111, 110-ROW(A95)+1)</f>
        <v>4.6358812423750368</v>
      </c>
    </row>
    <row r="97" spans="1:25">
      <c r="A97">
        <v>13</v>
      </c>
      <c r="B97">
        <v>0.41099999999999998</v>
      </c>
      <c r="C97">
        <f t="shared" si="3"/>
        <v>4.5961940777125587</v>
      </c>
      <c r="D97">
        <f t="shared" si="4"/>
        <v>5.2089823021709281</v>
      </c>
      <c r="E97">
        <f t="shared" si="5"/>
        <v>1.074203005008658</v>
      </c>
      <c r="S97">
        <v>4.5961940777125587</v>
      </c>
      <c r="T97">
        <v>1.074203005008658</v>
      </c>
      <c r="V97">
        <v>4.5961940777125587</v>
      </c>
      <c r="W97">
        <v>0.41099999999999998</v>
      </c>
      <c r="X97">
        <v>1.074203005008658</v>
      </c>
      <c r="Y97" cm="1">
        <f t="array" ref="Y97">INDEX($D$2:$D$111, 110-ROW(A96)+1)</f>
        <v>4.6371588029309763</v>
      </c>
    </row>
    <row r="98" spans="1:25">
      <c r="A98">
        <v>13.5</v>
      </c>
      <c r="B98">
        <v>0.39100000000000001</v>
      </c>
      <c r="C98">
        <f t="shared" si="3"/>
        <v>4.7729707730091953</v>
      </c>
      <c r="D98">
        <f t="shared" si="4"/>
        <v>5.2381955990933982</v>
      </c>
      <c r="E98">
        <f t="shared" si="5"/>
        <v>1.0449897080861885</v>
      </c>
      <c r="S98">
        <v>4.7729707730091953</v>
      </c>
      <c r="T98">
        <v>1.0449897080861885</v>
      </c>
      <c r="V98">
        <v>4.7729707730091953</v>
      </c>
      <c r="W98">
        <v>0.39100000000000001</v>
      </c>
      <c r="X98">
        <v>1.0449897080861885</v>
      </c>
      <c r="Y98" cm="1">
        <f t="array" ref="Y98">INDEX($D$2:$D$111, 110-ROW(A97)+1)</f>
        <v>4.6384362404787485</v>
      </c>
    </row>
    <row r="99" spans="1:25">
      <c r="A99">
        <v>14</v>
      </c>
      <c r="B99">
        <v>0.36799999999999999</v>
      </c>
      <c r="C99">
        <f t="shared" si="3"/>
        <v>4.9497474683058327</v>
      </c>
      <c r="D99">
        <f t="shared" si="4"/>
        <v>5.2724172993344443</v>
      </c>
      <c r="E99">
        <f t="shared" si="5"/>
        <v>1.0107680078451418</v>
      </c>
      <c r="S99">
        <v>4.9497474683058327</v>
      </c>
      <c r="T99">
        <v>1.0107680078451418</v>
      </c>
      <c r="V99">
        <v>4.9497474683058327</v>
      </c>
      <c r="W99">
        <v>0.36799999999999999</v>
      </c>
      <c r="X99">
        <v>1.0107680078451418</v>
      </c>
      <c r="Y99" cm="1">
        <f t="array" ref="Y99">INDEX($D$2:$D$111, 110-ROW(A98)+1)</f>
        <v>4.6397135571378643</v>
      </c>
    </row>
    <row r="100" spans="1:25">
      <c r="A100">
        <v>14.5</v>
      </c>
      <c r="B100">
        <v>0.35</v>
      </c>
      <c r="C100">
        <f t="shared" si="3"/>
        <v>5.1265241636024692</v>
      </c>
      <c r="D100">
        <f t="shared" si="4"/>
        <v>5.2997186158739611</v>
      </c>
      <c r="E100">
        <f t="shared" si="5"/>
        <v>0.98346669130562514</v>
      </c>
      <c r="S100">
        <v>5.1265241636024692</v>
      </c>
      <c r="T100">
        <v>0.98346669130562514</v>
      </c>
      <c r="V100">
        <v>5.1265241636024692</v>
      </c>
      <c r="W100">
        <v>0.35</v>
      </c>
      <c r="X100">
        <v>0.98346669130562514</v>
      </c>
      <c r="Y100" cm="1">
        <f t="array" ref="Y100">INDEX($D$2:$D$111, 110-ROW(A99)+1)</f>
        <v>4.6409907550260421</v>
      </c>
    </row>
    <row r="101" spans="1:25">
      <c r="A101">
        <v>15</v>
      </c>
      <c r="B101">
        <v>0.34</v>
      </c>
      <c r="C101">
        <f t="shared" si="3"/>
        <v>5.3033008588991057</v>
      </c>
      <c r="D101">
        <f t="shared" si="4"/>
        <v>5.3151013160341689</v>
      </c>
      <c r="E101">
        <f t="shared" si="5"/>
        <v>0.96808399114541721</v>
      </c>
      <c r="S101">
        <v>5.3033008588991057</v>
      </c>
      <c r="T101">
        <v>0.96808399114541721</v>
      </c>
      <c r="V101">
        <v>5.3033008588991057</v>
      </c>
      <c r="W101">
        <v>0.34</v>
      </c>
      <c r="X101">
        <v>0.96808399114541721</v>
      </c>
      <c r="Y101" cm="1">
        <f t="array" ref="Y101">INDEX($D$2:$D$111, 110-ROW(A100)+1)</f>
        <v>4.6167016259285987</v>
      </c>
    </row>
    <row r="102" spans="1:25">
      <c r="A102">
        <v>15.5</v>
      </c>
      <c r="B102">
        <v>0.32900000000000001</v>
      </c>
      <c r="C102">
        <f t="shared" si="3"/>
        <v>5.4800775541957432</v>
      </c>
      <c r="D102">
        <f t="shared" si="4"/>
        <v>5.3322127479647321</v>
      </c>
      <c r="E102">
        <f t="shared" si="5"/>
        <v>0.95097255921485369</v>
      </c>
      <c r="S102">
        <v>5.4800775541957432</v>
      </c>
      <c r="T102">
        <v>0.95097255921485369</v>
      </c>
      <c r="V102">
        <v>5.4800775541957432</v>
      </c>
      <c r="W102">
        <v>0.32900000000000001</v>
      </c>
      <c r="X102">
        <v>0.95097255921485369</v>
      </c>
      <c r="Y102" cm="1">
        <f t="array" ref="Y102">INDEX($D$2:$D$111, 110-ROW(A101)+1)</f>
        <v>4.6435448029516948</v>
      </c>
    </row>
    <row r="103" spans="1:25">
      <c r="A103">
        <v>16</v>
      </c>
      <c r="B103">
        <v>0.318</v>
      </c>
      <c r="C103">
        <f t="shared" si="3"/>
        <v>5.6568542494923797</v>
      </c>
      <c r="D103">
        <f t="shared" si="4"/>
        <v>5.3495357611702179</v>
      </c>
      <c r="E103">
        <f t="shared" si="5"/>
        <v>0.93364954600936834</v>
      </c>
      <c r="S103">
        <v>5.6568542494923797</v>
      </c>
      <c r="T103">
        <v>0.93364954600936834</v>
      </c>
      <c r="V103">
        <v>5.6568542494923797</v>
      </c>
      <c r="W103">
        <v>0.318</v>
      </c>
      <c r="X103">
        <v>0.93364954600936834</v>
      </c>
      <c r="Y103" cm="1">
        <f t="array" ref="Y103">INDEX($D$2:$D$111, 110-ROW(A102)+1)</f>
        <v>4.6435448029516948</v>
      </c>
    </row>
    <row r="104" spans="1:25">
      <c r="A104">
        <v>16.5</v>
      </c>
      <c r="B104">
        <v>0.30499999999999999</v>
      </c>
      <c r="C104">
        <f t="shared" si="3"/>
        <v>5.8336309447890171</v>
      </c>
      <c r="D104">
        <f t="shared" si="4"/>
        <v>5.3702996600736146</v>
      </c>
      <c r="E104">
        <f t="shared" si="5"/>
        <v>0.91288564710597175</v>
      </c>
      <c r="S104">
        <v>5.8336309447890171</v>
      </c>
      <c r="T104">
        <v>0.91288564710597175</v>
      </c>
      <c r="V104">
        <v>5.8336309447890171</v>
      </c>
      <c r="W104">
        <v>0.30499999999999999</v>
      </c>
      <c r="X104">
        <v>0.91288564710597175</v>
      </c>
      <c r="Y104" cm="1">
        <f t="array" ref="Y104">INDEX($D$2:$D$111, 110-ROW(A103)+1)</f>
        <v>4.6448216572159415</v>
      </c>
    </row>
    <row r="105" spans="1:25">
      <c r="A105">
        <v>17</v>
      </c>
      <c r="B105">
        <v>0.30299999999999999</v>
      </c>
      <c r="C105">
        <f t="shared" si="3"/>
        <v>6.0104076400856536</v>
      </c>
      <c r="D105">
        <f t="shared" si="4"/>
        <v>5.3735235253032085</v>
      </c>
      <c r="E105">
        <f t="shared" si="5"/>
        <v>0.90966178187637792</v>
      </c>
      <c r="S105">
        <v>6.0104076400856536</v>
      </c>
      <c r="T105">
        <v>0.90966178187637792</v>
      </c>
      <c r="V105">
        <v>6.0104076400856536</v>
      </c>
      <c r="W105">
        <v>0.30299999999999999</v>
      </c>
      <c r="X105">
        <v>0.90966178187637792</v>
      </c>
      <c r="Y105" cm="1">
        <f t="array" ref="Y105">INDEX($D$2:$D$111, 110-ROW(A104)+1)</f>
        <v>4.6460984011628543</v>
      </c>
    </row>
    <row r="106" spans="1:25">
      <c r="A106">
        <v>17.5</v>
      </c>
      <c r="B106">
        <v>0.29299999999999998</v>
      </c>
      <c r="C106">
        <f t="shared" si="3"/>
        <v>6.1871843353822902</v>
      </c>
      <c r="D106">
        <f t="shared" si="4"/>
        <v>5.3897663683731425</v>
      </c>
      <c r="E106">
        <f t="shared" si="5"/>
        <v>0.89341893880644385</v>
      </c>
      <c r="S106">
        <v>6.1871843353822902</v>
      </c>
      <c r="T106">
        <v>0.89341893880644385</v>
      </c>
      <c r="V106">
        <v>6.1871843353822902</v>
      </c>
      <c r="W106">
        <v>0.29299999999999998</v>
      </c>
      <c r="X106">
        <v>0.89341893880644385</v>
      </c>
      <c r="Y106" cm="1">
        <f t="array" ref="Y106">INDEX($D$2:$D$111, 110-ROW(A105)+1)</f>
        <v>4.6448216572159415</v>
      </c>
    </row>
    <row r="107" spans="1:25">
      <c r="A107">
        <v>18</v>
      </c>
      <c r="B107">
        <v>0.28399999999999997</v>
      </c>
      <c r="C107">
        <f t="shared" si="3"/>
        <v>6.3639610306789276</v>
      </c>
      <c r="D107">
        <f t="shared" si="4"/>
        <v>5.404568429432369</v>
      </c>
      <c r="E107">
        <f t="shared" si="5"/>
        <v>0.87861687774721686</v>
      </c>
      <c r="S107">
        <v>6.3639610306789276</v>
      </c>
      <c r="T107">
        <v>0.87861687774721686</v>
      </c>
      <c r="V107">
        <v>6.3639610306789276</v>
      </c>
      <c r="W107">
        <v>0.28399999999999997</v>
      </c>
      <c r="X107">
        <v>0.87861687774721686</v>
      </c>
      <c r="Y107" cm="1">
        <f t="array" ref="Y107">INDEX($D$2:$D$111, 110-ROW(A106)+1)</f>
        <v>4.6460984011628543</v>
      </c>
    </row>
    <row r="108" spans="1:25">
      <c r="A108">
        <v>18.5</v>
      </c>
      <c r="B108">
        <v>0.27900000000000003</v>
      </c>
      <c r="C108">
        <f t="shared" si="3"/>
        <v>6.5407377259755641</v>
      </c>
      <c r="D108">
        <f t="shared" si="4"/>
        <v>5.4128706153731061</v>
      </c>
      <c r="E108">
        <f t="shared" si="5"/>
        <v>0.87031469180648013</v>
      </c>
      <c r="S108">
        <v>6.5407377259755641</v>
      </c>
      <c r="T108">
        <v>0.87031469180648013</v>
      </c>
      <c r="V108">
        <v>6.5407377259755641</v>
      </c>
      <c r="W108">
        <v>0.27900000000000003</v>
      </c>
      <c r="X108">
        <v>0.87031469180648013</v>
      </c>
      <c r="Y108" cm="1">
        <f t="array" ref="Y108">INDEX($D$2:$D$111, 110-ROW(A107)+1)</f>
        <v>4.6460984011628543</v>
      </c>
    </row>
    <row r="109" spans="1:25">
      <c r="A109">
        <v>19</v>
      </c>
      <c r="B109">
        <v>0.26900000000000002</v>
      </c>
      <c r="C109">
        <f t="shared" si="3"/>
        <v>6.7175144212722007</v>
      </c>
      <c r="D109">
        <f t="shared" si="4"/>
        <v>5.4296524160012334</v>
      </c>
      <c r="E109">
        <f t="shared" si="5"/>
        <v>0.85353289117835307</v>
      </c>
      <c r="S109">
        <v>6.7175144212722007</v>
      </c>
      <c r="T109">
        <v>0.85353289117835307</v>
      </c>
      <c r="V109">
        <v>6.7175144212722007</v>
      </c>
      <c r="W109">
        <v>0.26900000000000002</v>
      </c>
      <c r="X109">
        <v>0.85353289117835307</v>
      </c>
      <c r="Y109" cm="1">
        <f t="array" ref="Y109">INDEX($D$2:$D$111, 110-ROW(A108)+1)</f>
        <v>4.6473750369016766</v>
      </c>
    </row>
    <row r="110" spans="1:25">
      <c r="A110">
        <v>19.5</v>
      </c>
      <c r="B110">
        <v>0.26600000000000001</v>
      </c>
      <c r="C110">
        <f t="shared" si="3"/>
        <v>6.8942911165688381</v>
      </c>
      <c r="D110">
        <f t="shared" si="4"/>
        <v>5.4347348534324915</v>
      </c>
      <c r="E110">
        <f t="shared" si="5"/>
        <v>0.84845045374709482</v>
      </c>
      <c r="S110">
        <v>6.8942911165688381</v>
      </c>
      <c r="T110">
        <v>0.84845045374709482</v>
      </c>
      <c r="V110">
        <v>6.8942911165688381</v>
      </c>
      <c r="W110">
        <v>0.26600000000000001</v>
      </c>
      <c r="X110">
        <v>0.84845045374709482</v>
      </c>
      <c r="Y110" cm="1">
        <f t="array" ref="Y110">INDEX($D$2:$D$111, 110-ROW(A109)+1)</f>
        <v>4.6473750369016766</v>
      </c>
    </row>
    <row r="111" spans="1:25">
      <c r="A111">
        <v>19.899999999999999</v>
      </c>
      <c r="B111">
        <v>0.26100000000000001</v>
      </c>
      <c r="C111">
        <f t="shared" si="3"/>
        <v>7.0357124728061473</v>
      </c>
      <c r="D111">
        <f t="shared" si="4"/>
        <v>5.4432566157315438</v>
      </c>
      <c r="E111">
        <f t="shared" si="5"/>
        <v>0.83992869144804272</v>
      </c>
      <c r="S111">
        <v>7.0357124728061473</v>
      </c>
      <c r="T111">
        <v>0.83992869144804272</v>
      </c>
      <c r="V111">
        <v>7.0357124728061473</v>
      </c>
      <c r="W111">
        <v>0.26100000000000001</v>
      </c>
      <c r="X111">
        <v>0.83992869144804272</v>
      </c>
      <c r="Y111" cm="1">
        <f t="array" ref="Y111">INDEX($D$2:$D$111, 110-ROW(A110)+1)</f>
        <v>4.648651566540055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FDDA88EA48F94C9929C5A350A31F4F" ma:contentTypeVersion="16" ma:contentTypeDescription="Create a new document." ma:contentTypeScope="" ma:versionID="c9776db5e8ee507ca36e67bb99abc513">
  <xsd:schema xmlns:xsd="http://www.w3.org/2001/XMLSchema" xmlns:xs="http://www.w3.org/2001/XMLSchema" xmlns:p="http://schemas.microsoft.com/office/2006/metadata/properties" xmlns:ns3="25a7bf15-b8b5-4b85-98eb-0ab76bb1218f" xmlns:ns4="7bb27c85-f0ee-4410-aa64-966598072686" targetNamespace="http://schemas.microsoft.com/office/2006/metadata/properties" ma:root="true" ma:fieldsID="ce5c897b56f0ffa3dc5913a139c23f28" ns3:_="" ns4:_="">
    <xsd:import namespace="25a7bf15-b8b5-4b85-98eb-0ab76bb1218f"/>
    <xsd:import namespace="7bb27c85-f0ee-4410-aa64-96659807268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7bf15-b8b5-4b85-98eb-0ab76bb1218f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27c85-f0ee-4410-aa64-96659807268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a7bf15-b8b5-4b85-98eb-0ab76bb1218f" xsi:nil="true"/>
  </documentManagement>
</p:properties>
</file>

<file path=customXml/itemProps1.xml><?xml version="1.0" encoding="utf-8"?>
<ds:datastoreItem xmlns:ds="http://schemas.openxmlformats.org/officeDocument/2006/customXml" ds:itemID="{E4513E7B-C248-46EB-8949-CD397E4BD6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40668B-38FF-456D-855D-913C61778E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7bf15-b8b5-4b85-98eb-0ab76bb1218f"/>
    <ds:schemaRef ds:uri="7bb27c85-f0ee-4410-aa64-9665980726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4CF424-4E6C-4563-9AEA-393E9DA09E41}">
  <ds:schemaRefs>
    <ds:schemaRef ds:uri="7bb27c85-f0ee-4410-aa64-966598072686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25a7bf15-b8b5-4b85-98eb-0ab76bb121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LCVR 532nm</vt:lpstr>
      <vt:lpstr>LCVR 407</vt:lpstr>
      <vt:lpstr>Sheet1</vt:lpstr>
      <vt:lpstr>LCVR 451</vt:lpstr>
      <vt:lpstr>LCVR 521</vt:lpstr>
      <vt:lpstr>LCVR 667</vt:lpstr>
      <vt:lpstr>LCVR 635_Ru</vt:lpstr>
      <vt:lpstr>LCVR 654_SD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Sharon Daminabo</cp:lastModifiedBy>
  <cp:revision/>
  <dcterms:created xsi:type="dcterms:W3CDTF">2024-03-01T16:52:09Z</dcterms:created>
  <dcterms:modified xsi:type="dcterms:W3CDTF">2026-05-14T00:02:19Z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2437dd-2777-4767-9eac-36c9d699896f_Enabled">
    <vt:lpwstr>true</vt:lpwstr>
  </property>
  <property fmtid="{D5CDD505-2E9C-101B-9397-08002B2CF9AE}" pid="3" name="MSIP_Label_d02437dd-2777-4767-9eac-36c9d699896f_SetDate">
    <vt:lpwstr>2026-05-04T20:28:25Z</vt:lpwstr>
  </property>
  <property fmtid="{D5CDD505-2E9C-101B-9397-08002B2CF9AE}" pid="4" name="MSIP_Label_d02437dd-2777-4767-9eac-36c9d699896f_Method">
    <vt:lpwstr>Standard</vt:lpwstr>
  </property>
  <property fmtid="{D5CDD505-2E9C-101B-9397-08002B2CF9AE}" pid="5" name="MSIP_Label_d02437dd-2777-4767-9eac-36c9d699896f_Name">
    <vt:lpwstr>defa4170-0d19-0005-0004-bc88714345d2</vt:lpwstr>
  </property>
  <property fmtid="{D5CDD505-2E9C-101B-9397-08002B2CF9AE}" pid="6" name="MSIP_Label_d02437dd-2777-4767-9eac-36c9d699896f_SiteId">
    <vt:lpwstr>1aa2e328-7d0f-4fd1-9216-c479a1c14f9d</vt:lpwstr>
  </property>
  <property fmtid="{D5CDD505-2E9C-101B-9397-08002B2CF9AE}" pid="7" name="MSIP_Label_d02437dd-2777-4767-9eac-36c9d699896f_ActionId">
    <vt:lpwstr>62610b1b-da15-499b-abfc-37c656f3d253</vt:lpwstr>
  </property>
  <property fmtid="{D5CDD505-2E9C-101B-9397-08002B2CF9AE}" pid="8" name="MSIP_Label_d02437dd-2777-4767-9eac-36c9d699896f_ContentBits">
    <vt:lpwstr>0</vt:lpwstr>
  </property>
  <property fmtid="{D5CDD505-2E9C-101B-9397-08002B2CF9AE}" pid="9" name="MSIP_Label_d02437dd-2777-4767-9eac-36c9d699896f_Tag">
    <vt:lpwstr>10, 3, 0, 1</vt:lpwstr>
  </property>
  <property fmtid="{D5CDD505-2E9C-101B-9397-08002B2CF9AE}" pid="10" name="ContentTypeId">
    <vt:lpwstr>0x0101005DFDDA88EA48F94C9929C5A350A31F4F</vt:lpwstr>
  </property>
</Properties>
</file>